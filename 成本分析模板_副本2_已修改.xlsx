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参数" sheetId="1" state="visible" r:id="rId1"/>
    <sheet name="FBA规则" sheetId="2" state="visible" r:id="rId2"/>
    <sheet name="采购成本对比" sheetId="3" state="visible" r:id="rId3"/>
    <sheet name="全尺寸利润" sheetId="4" state="visible" r:id="rId4"/>
    <sheet name="海运报价" sheetId="5" state="visible" r:id="rId5"/>
    <sheet name="海运下拉" sheetId="6" state="visible" r:id="rId6"/>
    <sheet name="箱规" sheetId="7" state="visible" r:id="rId7"/>
    <sheet name="定价规则说明" sheetId="8" state="visible" r:id="rId8"/>
    <sheet name="利润表" sheetId="9" state="visible" r:id="rId9"/>
    <sheet name="经营规划" sheetId="10" state="visible" r:id="rId10"/>
  </sheets>
  <definedNames/>
</workbook>
</file>

<file path=xl/styles.xml><?xml version="1.0" encoding="utf-8"?>
<styleSheet xmlns="http://schemas.openxmlformats.org/spreadsheetml/2006/main">
  <numFmts count="11">
    <numFmt numFmtId="164" formatCode="[$$-409]#,##0&quot; &quot;;([$$-409]#,##0)"/>
    <numFmt numFmtId="165" formatCode="&quot;¥&quot;#,##0.00&quot; &quot;;&quot;(¥&quot;#,##0.00)"/>
    <numFmt numFmtId="166" formatCode="&quot;¥&quot;#,##0&quot; &quot;;&quot;(¥&quot;#,##0)"/>
    <numFmt numFmtId="167" formatCode="[$$-409]#,##0.00&quot; &quot;;([$$-409]#,##0.00)"/>
    <numFmt numFmtId="168" formatCode="[$$-409]#,##0.00;&quot;-&quot;[$$-409]#,##0.00"/>
    <numFmt numFmtId="169" formatCode="¥#,##0.00"/>
    <numFmt numFmtId="170" formatCode="$#,##0.00"/>
    <numFmt numFmtId="171" formatCode="0.0"/>
    <numFmt numFmtId="172" formatCode="0.0000"/>
    <numFmt numFmtId="173" formatCode="0.000"/>
    <numFmt numFmtId="174" formatCode="YYYY-MM-DD"/>
  </numFmts>
  <fonts count="20">
    <font>
      <name val="等线"/>
      <color indexed="8"/>
      <sz val="11"/>
    </font>
    <font>
      <name val="Helvetica Neue"/>
      <color indexed="8"/>
      <sz val="11"/>
    </font>
    <font>
      <name val="Calibri"/>
      <color indexed="8"/>
      <sz val="15"/>
    </font>
    <font>
      <name val="等线"/>
      <b val="1"/>
      <color indexed="8"/>
      <sz val="14"/>
    </font>
    <font>
      <name val="等线"/>
      <b val="1"/>
      <color indexed="14"/>
      <sz val="12"/>
    </font>
    <font>
      <name val="等线"/>
      <b val="1"/>
      <color indexed="8"/>
      <sz val="12"/>
    </font>
    <font>
      <name val="等线"/>
      <b val="1"/>
      <color indexed="14"/>
      <sz val="11"/>
    </font>
    <font>
      <b val="1"/>
    </font>
    <font>
      <i val="1"/>
      <color rgb="00666666"/>
    </font>
    <font>
      <b val="1"/>
      <sz val="12"/>
    </font>
    <font>
      <b val="1"/>
      <color rgb="00FFFFFF"/>
    </font>
    <font>
      <b val="1"/>
      <color rgb="00C00000"/>
    </font>
    <font>
      <b val="1"/>
      <color rgb="00C00000"/>
      <sz val="12"/>
    </font>
    <font>
      <color rgb="00C00000"/>
    </font>
    <font>
      <color rgb="00808080"/>
      <sz val="8"/>
    </font>
    <font>
      <b val="1"/>
      <sz val="14"/>
    </font>
    <font>
      <b val="1"/>
      <color rgb="00C00000"/>
      <sz val="14"/>
    </font>
    <font/>
    <font>
      <b val="1"/>
      <color rgb="00FFFFFF"/>
      <sz val="11"/>
    </font>
    <font>
      <b val="1"/>
      <color rgb="00FFFFFF"/>
      <sz val="9"/>
    </font>
  </fonts>
  <fills count="26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rgb="004472C4"/>
      </patternFill>
    </fill>
    <fill>
      <patternFill patternType="solid">
        <fgColor rgb="00548235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D9D9D9"/>
      </patternFill>
    </fill>
    <fill>
      <patternFill patternType="solid">
        <fgColor rgb="005B9BD5"/>
      </patternFill>
    </fill>
    <fill>
      <patternFill patternType="solid">
        <fgColor rgb="00A6A6A6"/>
      </patternFill>
    </fill>
    <fill>
      <patternFill patternType="solid">
        <fgColor rgb="00FFC000"/>
      </patternFill>
    </fill>
    <fill>
      <patternFill patternType="solid">
        <fgColor rgb="00ED7D31"/>
      </patternFill>
    </fill>
    <fill>
      <patternFill patternType="solid">
        <fgColor rgb="009E7CC3"/>
      </patternFill>
    </fill>
    <fill>
      <patternFill patternType="solid">
        <fgColor rgb="0070AD47"/>
      </patternFill>
    </fill>
    <fill>
      <patternFill patternType="solid">
        <fgColor rgb="00C00000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D5F1"/>
      </patternFill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A9D08E"/>
      </patternFill>
    </fill>
  </fills>
  <borders count="3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0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10"/>
      </bottom>
      <diagonal/>
    </border>
    <border/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 applyAlignment="1">
      <alignment vertical="bottom"/>
    </xf>
  </cellStyleXfs>
  <cellXfs count="315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2" borderId="1" applyAlignment="1" pivotButton="0" quotePrefix="0" xfId="0">
      <alignment vertical="center"/>
    </xf>
    <xf numFmtId="0" fontId="0" fillId="2" borderId="2" applyAlignment="1" pivotButton="0" quotePrefix="0" xfId="0">
      <alignment vertical="center" wrapText="1"/>
    </xf>
    <xf numFmtId="49" fontId="3" fillId="3" borderId="3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3" applyAlignment="1" pivotButton="0" quotePrefix="0" xfId="0">
      <alignment vertical="center" wrapText="1"/>
    </xf>
    <xf numFmtId="49" fontId="3" fillId="4" borderId="3" applyAlignment="1" pivotButton="0" quotePrefix="0" xfId="0">
      <alignment vertical="center"/>
    </xf>
    <xf numFmtId="0" fontId="3" fillId="4" borderId="3" applyAlignment="1" pivotButton="0" quotePrefix="0" xfId="0">
      <alignment vertical="center"/>
    </xf>
    <xf numFmtId="49" fontId="3" fillId="2" borderId="4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49" fontId="3" fillId="2" borderId="1" applyAlignment="1" pivotButton="0" quotePrefix="0" xfId="0">
      <alignment horizontal="center" vertical="center"/>
    </xf>
    <xf numFmtId="0" fontId="0" fillId="2" borderId="5" applyAlignment="1" pivotButton="0" quotePrefix="0" xfId="0">
      <alignment vertical="center"/>
    </xf>
    <xf numFmtId="49" fontId="0" fillId="3" borderId="5" applyAlignment="1" pivotButton="0" quotePrefix="0" xfId="0">
      <alignment vertical="center" wrapText="1"/>
    </xf>
    <xf numFmtId="49" fontId="0" fillId="2" borderId="5" applyAlignment="1" pivotButton="0" quotePrefix="0" xfId="0">
      <alignment vertical="center" wrapText="1"/>
    </xf>
    <xf numFmtId="49" fontId="0" fillId="4" borderId="5" applyAlignment="1" pivotButton="0" quotePrefix="0" xfId="0">
      <alignment vertical="center" wrapText="1"/>
    </xf>
    <xf numFmtId="49" fontId="0" fillId="5" borderId="5" applyAlignment="1" pivotButton="0" quotePrefix="0" xfId="0">
      <alignment vertical="center" wrapText="1"/>
    </xf>
    <xf numFmtId="49" fontId="0" fillId="6" borderId="5" applyAlignment="1" pivotButton="0" quotePrefix="0" xfId="0">
      <alignment vertical="center" wrapText="1"/>
    </xf>
    <xf numFmtId="49" fontId="0" fillId="2" borderId="5" applyAlignment="1" pivotButton="0" quotePrefix="0" xfId="0">
      <alignment vertical="center"/>
    </xf>
    <xf numFmtId="49" fontId="4" fillId="5" borderId="5" applyAlignment="1" pivotButton="0" quotePrefix="0" xfId="0">
      <alignment vertical="center" wrapText="1"/>
    </xf>
    <xf numFmtId="0" fontId="0" fillId="2" borderId="5" applyAlignment="1" pivotButton="0" quotePrefix="0" xfId="0">
      <alignment vertical="top" wrapText="1"/>
    </xf>
    <xf numFmtId="0" fontId="5" fillId="2" borderId="5" applyAlignment="1" pivotButton="0" quotePrefix="0" xfId="0">
      <alignment horizontal="left" vertical="top" wrapText="1"/>
    </xf>
    <xf numFmtId="0" fontId="0" fillId="2" borderId="6" applyAlignment="1" pivotButton="0" quotePrefix="0" xfId="0">
      <alignment horizontal="left" vertical="top" wrapText="1"/>
    </xf>
    <xf numFmtId="0" fontId="0" fillId="2" borderId="7" applyAlignment="1" pivotButton="0" quotePrefix="0" xfId="0">
      <alignment horizontal="left" vertical="top" wrapText="1"/>
    </xf>
    <xf numFmtId="0" fontId="0" fillId="2" borderId="8" applyAlignment="1" pivotButton="0" quotePrefix="0" xfId="0">
      <alignment horizontal="left" vertical="top" wrapText="1"/>
    </xf>
    <xf numFmtId="49" fontId="0" fillId="2" borderId="5" applyAlignment="1" pivotButton="0" quotePrefix="0" xfId="0">
      <alignment vertical="top" wrapText="1"/>
    </xf>
    <xf numFmtId="0" fontId="4" fillId="2" borderId="5" applyAlignment="1" pivotButton="0" quotePrefix="0" xfId="0">
      <alignment vertical="center"/>
    </xf>
    <xf numFmtId="0" fontId="0" fillId="3" borderId="5" applyAlignment="1" pivotButton="0" quotePrefix="0" xfId="0">
      <alignment vertical="center" wrapText="1"/>
    </xf>
    <xf numFmtId="0" fontId="0" fillId="2" borderId="9" applyAlignment="1" pivotButton="0" quotePrefix="0" xfId="0">
      <alignment horizontal="center" vertical="center" wrapText="1"/>
    </xf>
    <xf numFmtId="164" fontId="0" fillId="3" borderId="10" applyAlignment="1" pivotButton="0" quotePrefix="0" xfId="0">
      <alignment horizontal="center" vertical="center" wrapText="1"/>
    </xf>
    <xf numFmtId="164" fontId="0" fillId="4" borderId="10" applyAlignment="1" pivotButton="0" quotePrefix="0" xfId="0">
      <alignment horizontal="center" vertical="center"/>
    </xf>
    <xf numFmtId="164" fontId="0" fillId="3" borderId="10" applyAlignment="1" pivotButton="0" quotePrefix="0" xfId="0">
      <alignment horizontal="center" vertical="center"/>
    </xf>
    <xf numFmtId="9" fontId="0" fillId="4" borderId="10" applyAlignment="1" pivotButton="0" quotePrefix="0" xfId="0">
      <alignment horizontal="center" vertical="center"/>
    </xf>
    <xf numFmtId="0" fontId="0" fillId="4" borderId="10" applyAlignment="1" pivotButton="0" quotePrefix="0" xfId="0">
      <alignment horizontal="center" vertical="center"/>
    </xf>
    <xf numFmtId="0" fontId="0" fillId="4" borderId="5" applyAlignment="1" pivotButton="0" quotePrefix="0" xfId="0">
      <alignment vertical="center"/>
    </xf>
    <xf numFmtId="165" fontId="0" fillId="4" borderId="5" applyAlignment="1" pivotButton="0" quotePrefix="0" xfId="0">
      <alignment vertical="center"/>
    </xf>
    <xf numFmtId="166" fontId="0" fillId="5" borderId="5" applyAlignment="1" pivotButton="0" quotePrefix="0" xfId="0">
      <alignment vertical="center"/>
    </xf>
    <xf numFmtId="165" fontId="0" fillId="2" borderId="5" applyAlignment="1" pivotButton="0" quotePrefix="0" xfId="0">
      <alignment vertical="center"/>
    </xf>
    <xf numFmtId="165" fontId="0" fillId="3" borderId="5" applyAlignment="1" pivotButton="0" quotePrefix="0" xfId="0">
      <alignment vertical="center"/>
    </xf>
    <xf numFmtId="167" fontId="0" fillId="2" borderId="5" applyAlignment="1" pivotButton="0" quotePrefix="0" xfId="0">
      <alignment vertical="center"/>
    </xf>
    <xf numFmtId="0" fontId="6" fillId="2" borderId="5" applyAlignment="1" pivotButton="0" quotePrefix="0" xfId="0">
      <alignment vertical="center"/>
    </xf>
    <xf numFmtId="165" fontId="6" fillId="2" borderId="5" applyAlignment="1" pivotButton="0" quotePrefix="0" xfId="0">
      <alignment vertical="center"/>
    </xf>
    <xf numFmtId="0" fontId="0" fillId="2" borderId="11" applyAlignment="1" pivotButton="0" quotePrefix="0" xfId="0">
      <alignment horizontal="center" vertical="center" wrapText="1"/>
    </xf>
    <xf numFmtId="164" fontId="0" fillId="3" borderId="12" applyAlignment="1" pivotButton="0" quotePrefix="0" xfId="0">
      <alignment horizontal="center" vertical="center" wrapText="1"/>
    </xf>
    <xf numFmtId="164" fontId="0" fillId="4" borderId="12" applyAlignment="1" pivotButton="0" quotePrefix="0" xfId="0">
      <alignment horizontal="center" vertical="center"/>
    </xf>
    <xf numFmtId="164" fontId="0" fillId="3" borderId="12" applyAlignment="1" pivotButton="0" quotePrefix="0" xfId="0">
      <alignment horizontal="center" vertical="center"/>
    </xf>
    <xf numFmtId="9" fontId="0" fillId="4" borderId="12" applyAlignment="1" pivotButton="0" quotePrefix="0" xfId="0">
      <alignment horizontal="center" vertical="center"/>
    </xf>
    <xf numFmtId="0" fontId="0" fillId="4" borderId="12" applyAlignment="1" pivotButton="0" quotePrefix="0" xfId="0">
      <alignment horizontal="center" vertical="center"/>
    </xf>
    <xf numFmtId="0" fontId="0" fillId="2" borderId="5" applyAlignment="1" pivotButton="0" quotePrefix="0" xfId="0">
      <alignment vertical="center"/>
    </xf>
    <xf numFmtId="0" fontId="0" fillId="3" borderId="10" applyAlignment="1" pivotButton="0" quotePrefix="0" xfId="0">
      <alignment vertical="center" wrapText="1"/>
    </xf>
    <xf numFmtId="0" fontId="0" fillId="2" borderId="13" applyAlignment="1" pivotButton="0" quotePrefix="0" xfId="0">
      <alignment horizontal="center" vertical="center" wrapText="1"/>
    </xf>
    <xf numFmtId="164" fontId="0" fillId="3" borderId="14" applyAlignment="1" pivotButton="0" quotePrefix="0" xfId="0">
      <alignment horizontal="center" vertical="center" wrapText="1"/>
    </xf>
    <xf numFmtId="164" fontId="0" fillId="4" borderId="14" applyAlignment="1" pivotButton="0" quotePrefix="0" xfId="0">
      <alignment horizontal="center" vertical="center"/>
    </xf>
    <xf numFmtId="164" fontId="0" fillId="3" borderId="14" applyAlignment="1" pivotButton="0" quotePrefix="0" xfId="0">
      <alignment horizontal="center" vertical="center"/>
    </xf>
    <xf numFmtId="9" fontId="0" fillId="4" borderId="14" applyAlignment="1" pivotButton="0" quotePrefix="0" xfId="0">
      <alignment horizontal="center" vertical="center"/>
    </xf>
    <xf numFmtId="0" fontId="0" fillId="4" borderId="14" applyAlignment="1" pivotButton="0" quotePrefix="0" xfId="0">
      <alignment horizontal="center" vertical="center"/>
    </xf>
    <xf numFmtId="10" fontId="0" fillId="2" borderId="5" applyAlignment="1" pivotButton="0" quotePrefix="0" xfId="0">
      <alignment vertical="center"/>
    </xf>
    <xf numFmtId="167" fontId="0" fillId="3" borderId="5" applyAlignment="1" pivotButton="0" quotePrefix="0" xfId="0">
      <alignment vertical="center"/>
    </xf>
    <xf numFmtId="167" fontId="6" fillId="2" borderId="5" applyAlignment="1" pivotButton="0" quotePrefix="0" xfId="0">
      <alignment vertical="center"/>
    </xf>
    <xf numFmtId="10" fontId="6" fillId="2" borderId="5" applyAlignment="1" pivotButton="0" quotePrefix="0" xfId="0">
      <alignment vertical="center"/>
    </xf>
    <xf numFmtId="168" fontId="6" fillId="2" borderId="5" applyAlignment="1" pivotButton="0" quotePrefix="0" xfId="0">
      <alignment vertical="center"/>
    </xf>
    <xf numFmtId="0" fontId="0" fillId="2" borderId="15" applyAlignment="1" pivotButton="0" quotePrefix="0" xfId="0">
      <alignment vertical="center"/>
    </xf>
    <xf numFmtId="0" fontId="0" fillId="2" borderId="16" applyAlignment="1" pivotButton="0" quotePrefix="0" xfId="0">
      <alignment vertical="center"/>
    </xf>
    <xf numFmtId="0" fontId="0" fillId="2" borderId="15" applyAlignment="1" pivotButton="0" quotePrefix="0" xfId="0">
      <alignment vertical="center" wrapText="1"/>
    </xf>
    <xf numFmtId="0" fontId="0" fillId="2" borderId="17" applyAlignment="1" pivotButton="0" quotePrefix="0" xfId="0">
      <alignment vertical="center"/>
    </xf>
    <xf numFmtId="0" fontId="0" fillId="2" borderId="17" applyAlignment="1" pivotButton="0" quotePrefix="0" xfId="0">
      <alignment vertical="center" wrapText="1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22" pivotButton="0" quotePrefix="0" xfId="0"/>
    <xf numFmtId="0" fontId="0" fillId="0" borderId="23" pivotButton="0" quotePrefix="0" xfId="0"/>
    <xf numFmtId="164" fontId="0" fillId="3" borderId="5" applyAlignment="1" pivotButton="0" quotePrefix="0" xfId="0">
      <alignment horizontal="center" vertical="center" wrapText="1"/>
    </xf>
    <xf numFmtId="164" fontId="0" fillId="4" borderId="5" applyAlignment="1" pivotButton="0" quotePrefix="0" xfId="0">
      <alignment horizontal="center" vertical="center"/>
    </xf>
    <xf numFmtId="164" fontId="0" fillId="3" borderId="5" applyAlignment="1" pivotButton="0" quotePrefix="0" xfId="0">
      <alignment horizontal="center" vertical="center"/>
    </xf>
    <xf numFmtId="9" fontId="0" fillId="4" borderId="5" applyAlignment="1" pivotButton="0" quotePrefix="0" xfId="0">
      <alignment horizontal="center" vertical="center"/>
    </xf>
    <xf numFmtId="0" fontId="0" fillId="4" borderId="5" applyAlignment="1" pivotButton="0" quotePrefix="0" xfId="0">
      <alignment horizontal="center" vertical="center"/>
    </xf>
    <xf numFmtId="165" fontId="0" fillId="4" borderId="5" applyAlignment="1" pivotButton="0" quotePrefix="0" xfId="0">
      <alignment vertical="center"/>
    </xf>
    <xf numFmtId="167" fontId="0" fillId="2" borderId="5" applyAlignment="1" pivotButton="0" quotePrefix="0" xfId="0">
      <alignment vertical="center"/>
    </xf>
    <xf numFmtId="165" fontId="0" fillId="3" borderId="5" applyAlignment="1" pivotButton="0" quotePrefix="0" xfId="0">
      <alignment vertical="center"/>
    </xf>
    <xf numFmtId="167" fontId="0" fillId="3" borderId="5" applyAlignment="1" pivotButton="0" quotePrefix="0" xfId="0">
      <alignment vertical="center"/>
    </xf>
    <xf numFmtId="167" fontId="6" fillId="2" borderId="5" applyAlignment="1" pivotButton="0" quotePrefix="0" xfId="0">
      <alignment vertical="center"/>
    </xf>
    <xf numFmtId="168" fontId="6" fillId="2" borderId="5" applyAlignment="1" pivotButton="0" quotePrefix="0" xfId="0">
      <alignment vertical="center"/>
    </xf>
    <xf numFmtId="49" fontId="3" fillId="3" borderId="3" applyAlignment="1" pivotButton="0" quotePrefix="0" xfId="0">
      <alignment horizontal="center" vertical="center"/>
    </xf>
    <xf numFmtId="49" fontId="3" fillId="4" borderId="3" applyAlignment="1" pivotButton="0" quotePrefix="0" xfId="0">
      <alignment horizontal="center" vertical="center"/>
    </xf>
    <xf numFmtId="49" fontId="7" fillId="3" borderId="3" applyAlignment="1" pivotButton="0" quotePrefix="0" xfId="0">
      <alignment horizontal="center" vertical="center"/>
    </xf>
    <xf numFmtId="49" fontId="7" fillId="4" borderId="3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49" fontId="7" fillId="3" borderId="5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49" fontId="7" fillId="2" borderId="5" applyAlignment="1" pivotButton="0" quotePrefix="0" xfId="0">
      <alignment horizontal="center" vertical="center" wrapText="1"/>
    </xf>
    <xf numFmtId="49" fontId="7" fillId="4" borderId="5" applyAlignment="1" pivotButton="0" quotePrefix="0" xfId="0">
      <alignment horizontal="center" vertical="center" wrapText="1"/>
    </xf>
    <xf numFmtId="49" fontId="7" fillId="5" borderId="5" applyAlignment="1" pivotButton="0" quotePrefix="0" xfId="0">
      <alignment horizontal="center" vertical="center" wrapText="1"/>
    </xf>
    <xf numFmtId="49" fontId="7" fillId="6" borderId="5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0" fillId="2" borderId="5" applyAlignment="1" pivotButton="0" quotePrefix="0" xfId="0">
      <alignment wrapText="1"/>
    </xf>
    <xf numFmtId="0" fontId="8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0" fontId="10" fillId="8" borderId="0" pivotButton="0" quotePrefix="0" xfId="0"/>
    <xf numFmtId="0" fontId="10" fillId="7" borderId="0" applyAlignment="1" pivotButton="0" quotePrefix="0" xfId="0">
      <alignment horizontal="center" wrapText="1"/>
    </xf>
    <xf numFmtId="0" fontId="11" fillId="0" borderId="0" pivotButton="0" quotePrefix="0" xfId="0"/>
    <xf numFmtId="0" fontId="12" fillId="0" borderId="0" pivotButton="0" quotePrefix="0" xfId="0"/>
    <xf numFmtId="0" fontId="0" fillId="0" borderId="0" applyAlignment="1" pivotButton="0" quotePrefix="0" xfId="0">
      <alignment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2" fontId="0" fillId="2" borderId="5" applyAlignment="1" pivotButton="0" quotePrefix="0" xfId="0">
      <alignment vertical="center"/>
    </xf>
    <xf numFmtId="169" fontId="0" fillId="3" borderId="5" applyAlignment="1" pivotButton="0" quotePrefix="0" xfId="0">
      <alignment vertical="center"/>
    </xf>
    <xf numFmtId="2" fontId="0" fillId="2" borderId="15" applyAlignment="1" pivotButton="0" quotePrefix="0" xfId="0">
      <alignment vertical="center"/>
    </xf>
    <xf numFmtId="169" fontId="0" fillId="2" borderId="15" applyAlignment="1" pivotButton="0" quotePrefix="0" xfId="0">
      <alignment vertical="center"/>
    </xf>
    <xf numFmtId="2" fontId="0" fillId="2" borderId="17" applyAlignment="1" pivotButton="0" quotePrefix="0" xfId="0">
      <alignment vertical="center"/>
    </xf>
    <xf numFmtId="169" fontId="0" fillId="2" borderId="17" applyAlignment="1" pivotButton="0" quotePrefix="0" xfId="0">
      <alignment vertical="center"/>
    </xf>
    <xf numFmtId="2" fontId="0" fillId="0" borderId="0" pivotButton="0" quotePrefix="0" xfId="0"/>
    <xf numFmtId="169" fontId="0" fillId="0" borderId="0" pivotButton="0" quotePrefix="0" xfId="0"/>
    <xf numFmtId="170" fontId="0" fillId="2" borderId="5" applyAlignment="1" pivotButton="0" quotePrefix="0" xfId="0">
      <alignment vertical="center"/>
    </xf>
    <xf numFmtId="170" fontId="0" fillId="2" borderId="15" applyAlignment="1" pivotButton="0" quotePrefix="0" xfId="0">
      <alignment vertical="center"/>
    </xf>
    <xf numFmtId="170" fontId="0" fillId="2" borderId="17" applyAlignment="1" pivotButton="0" quotePrefix="0" xfId="0">
      <alignment vertical="center"/>
    </xf>
    <xf numFmtId="170" fontId="0" fillId="0" borderId="0" pivotButton="0" quotePrefix="0" xfId="0"/>
    <xf numFmtId="1" fontId="0" fillId="0" borderId="0" applyAlignment="1" pivotButton="0" quotePrefix="0" xfId="0">
      <alignment vertical="bottom"/>
    </xf>
    <xf numFmtId="170" fontId="0" fillId="3" borderId="5" applyAlignment="1" pivotButton="0" quotePrefix="0" xfId="0">
      <alignment horizontal="center" vertical="center" wrapText="1"/>
    </xf>
    <xf numFmtId="170" fontId="0" fillId="4" borderId="5" applyAlignment="1" pivotButton="0" quotePrefix="0" xfId="0">
      <alignment horizontal="center" vertical="center"/>
    </xf>
    <xf numFmtId="170" fontId="0" fillId="3" borderId="5" applyAlignment="1" pivotButton="0" quotePrefix="0" xfId="0">
      <alignment horizontal="center" vertical="center"/>
    </xf>
    <xf numFmtId="10" fontId="0" fillId="4" borderId="5" applyAlignment="1" pivotButton="0" quotePrefix="0" xfId="0">
      <alignment horizontal="center" vertical="center"/>
    </xf>
    <xf numFmtId="2" fontId="0" fillId="4" borderId="5" applyAlignment="1" pivotButton="0" quotePrefix="0" xfId="0">
      <alignment horizontal="center" vertical="center"/>
    </xf>
    <xf numFmtId="171" fontId="0" fillId="2" borderId="5" applyAlignment="1" pivotButton="0" quotePrefix="0" xfId="0">
      <alignment vertical="center"/>
    </xf>
    <xf numFmtId="2" fontId="0" fillId="3" borderId="5" applyAlignment="1" pivotButton="0" quotePrefix="0" xfId="0">
      <alignment vertical="center"/>
    </xf>
    <xf numFmtId="169" fontId="0" fillId="2" borderId="5" applyAlignment="1" pivotButton="0" quotePrefix="0" xfId="0">
      <alignment vertical="center"/>
    </xf>
    <xf numFmtId="170" fontId="6" fillId="2" borderId="5" applyAlignment="1" pivotButton="0" quotePrefix="0" xfId="0">
      <alignment vertical="center"/>
    </xf>
    <xf numFmtId="170" fontId="0" fillId="3" borderId="5" applyAlignment="1" pivotButton="0" quotePrefix="0" xfId="0">
      <alignment vertical="center"/>
    </xf>
    <xf numFmtId="169" fontId="6" fillId="2" borderId="5" applyAlignment="1" pivotButton="0" quotePrefix="0" xfId="0">
      <alignment vertical="center"/>
    </xf>
    <xf numFmtId="170" fontId="0" fillId="0" borderId="0" applyAlignment="1" pivotButton="0" quotePrefix="0" xfId="0">
      <alignment vertical="bottom"/>
    </xf>
    <xf numFmtId="10" fontId="0" fillId="0" borderId="0" applyAlignment="1" pivotButton="0" quotePrefix="0" xfId="0">
      <alignment vertical="bottom"/>
    </xf>
    <xf numFmtId="2" fontId="0" fillId="0" borderId="0" applyAlignment="1" pivotButton="0" quotePrefix="0" xfId="0">
      <alignment vertical="bottom"/>
    </xf>
    <xf numFmtId="169" fontId="0" fillId="0" borderId="0" applyAlignment="1" pivotButton="0" quotePrefix="0" xfId="0">
      <alignment vertical="bottom"/>
    </xf>
    <xf numFmtId="170" fontId="0" fillId="2" borderId="15" applyAlignment="1" pivotButton="0" quotePrefix="0" xfId="0">
      <alignment vertical="center" wrapText="1"/>
    </xf>
    <xf numFmtId="10" fontId="0" fillId="2" borderId="15" applyAlignment="1" pivotButton="0" quotePrefix="0" xfId="0">
      <alignment vertical="center"/>
    </xf>
    <xf numFmtId="171" fontId="0" fillId="2" borderId="15" applyAlignment="1" pivotButton="0" quotePrefix="0" xfId="0">
      <alignment vertical="center"/>
    </xf>
    <xf numFmtId="170" fontId="0" fillId="2" borderId="17" applyAlignment="1" pivotButton="0" quotePrefix="0" xfId="0">
      <alignment vertical="center" wrapText="1"/>
    </xf>
    <xf numFmtId="10" fontId="0" fillId="2" borderId="17" applyAlignment="1" pivotButton="0" quotePrefix="0" xfId="0">
      <alignment vertical="center"/>
    </xf>
    <xf numFmtId="171" fontId="0" fillId="2" borderId="17" applyAlignment="1" pivotButton="0" quotePrefix="0" xfId="0">
      <alignment vertical="center"/>
    </xf>
    <xf numFmtId="10" fontId="0" fillId="0" borderId="0" pivotButton="0" quotePrefix="0" xfId="0"/>
    <xf numFmtId="171" fontId="0" fillId="0" borderId="0" applyAlignment="1" pivotButton="0" quotePrefix="0" xfId="0">
      <alignment vertical="bottom"/>
    </xf>
    <xf numFmtId="1" fontId="0" fillId="0" borderId="0" pivotButton="0" quotePrefix="0" xfId="0"/>
    <xf numFmtId="171" fontId="0" fillId="0" borderId="0" pivotButton="0" quotePrefix="0" xfId="0"/>
    <xf numFmtId="172" fontId="0" fillId="0" borderId="0" applyAlignment="1" pivotButton="0" quotePrefix="0" xfId="0">
      <alignment vertical="bottom"/>
    </xf>
    <xf numFmtId="173" fontId="0" fillId="0" borderId="0" applyAlignment="1" pivotButton="0" quotePrefix="0" xfId="0">
      <alignment vertical="bottom"/>
    </xf>
    <xf numFmtId="172" fontId="0" fillId="0" borderId="0" pivotButton="0" quotePrefix="0" xfId="0"/>
    <xf numFmtId="173" fontId="0" fillId="0" borderId="0" pivotButton="0" quotePrefix="0" xfId="0"/>
    <xf numFmtId="0" fontId="15" fillId="0" borderId="0" pivotButton="0" quotePrefix="0" xfId="0"/>
    <xf numFmtId="172" fontId="16" fillId="0" borderId="0" pivotButton="0" quotePrefix="0" xfId="0"/>
    <xf numFmtId="49" fontId="7" fillId="9" borderId="5" applyAlignment="1" pivotButton="0" quotePrefix="0" xfId="0">
      <alignment horizontal="center" vertical="center" wrapText="1"/>
    </xf>
    <xf numFmtId="49" fontId="7" fillId="10" borderId="5" applyAlignment="1" pivotButton="0" quotePrefix="0" xfId="0">
      <alignment horizontal="center" vertical="center" wrapText="1"/>
    </xf>
    <xf numFmtId="170" fontId="0" fillId="9" borderId="5" applyAlignment="1" pivotButton="0" quotePrefix="0" xfId="0">
      <alignment horizontal="center" vertical="center" wrapText="1"/>
    </xf>
    <xf numFmtId="170" fontId="0" fillId="10" borderId="5" applyAlignment="1" pivotButton="0" quotePrefix="0" xfId="0">
      <alignment horizontal="center" vertical="center"/>
    </xf>
    <xf numFmtId="170" fontId="0" fillId="9" borderId="5" applyAlignment="1" pivotButton="0" quotePrefix="0" xfId="0">
      <alignment horizontal="center" vertical="center"/>
    </xf>
    <xf numFmtId="10" fontId="0" fillId="10" borderId="5" applyAlignment="1" pivotButton="0" quotePrefix="0" xfId="0">
      <alignment horizontal="center"/>
    </xf>
    <xf numFmtId="2" fontId="0" fillId="10" borderId="5" applyAlignment="1" pivotButton="0" quotePrefix="0" xfId="0">
      <alignment horizontal="center"/>
    </xf>
    <xf numFmtId="170" fontId="0" fillId="9" borderId="15" applyAlignment="1" pivotButton="0" quotePrefix="0" xfId="0">
      <alignment vertical="center" wrapText="1"/>
    </xf>
    <xf numFmtId="170" fontId="0" fillId="10" borderId="15" applyAlignment="1" pivotButton="0" quotePrefix="0" xfId="0">
      <alignment vertical="center" wrapText="1"/>
    </xf>
    <xf numFmtId="170" fontId="0" fillId="9" borderId="15" applyAlignment="1" pivotButton="0" quotePrefix="0" xfId="0">
      <alignment vertical="center"/>
    </xf>
    <xf numFmtId="10" fontId="0" fillId="10" borderId="15" applyAlignment="1" pivotButton="0" quotePrefix="0" xfId="0">
      <alignment horizontal="center"/>
    </xf>
    <xf numFmtId="2" fontId="0" fillId="10" borderId="15" applyAlignment="1" pivotButton="0" quotePrefix="0" xfId="0">
      <alignment horizontal="center"/>
    </xf>
    <xf numFmtId="170" fontId="0" fillId="9" borderId="17" applyAlignment="1" pivotButton="0" quotePrefix="0" xfId="0">
      <alignment vertical="center" wrapText="1"/>
    </xf>
    <xf numFmtId="170" fontId="0" fillId="10" borderId="17" applyAlignment="1" pivotButton="0" quotePrefix="0" xfId="0">
      <alignment vertical="center" wrapText="1"/>
    </xf>
    <xf numFmtId="170" fontId="0" fillId="9" borderId="17" applyAlignment="1" pivotButton="0" quotePrefix="0" xfId="0">
      <alignment vertical="center"/>
    </xf>
    <xf numFmtId="10" fontId="0" fillId="10" borderId="17" applyAlignment="1" pivotButton="0" quotePrefix="0" xfId="0">
      <alignment horizontal="center"/>
    </xf>
    <xf numFmtId="2" fontId="0" fillId="10" borderId="17" applyAlignment="1" pivotButton="0" quotePrefix="0" xfId="0">
      <alignment horizontal="center"/>
    </xf>
    <xf numFmtId="170" fontId="0" fillId="9" borderId="0" pivotButton="0" quotePrefix="0" xfId="0"/>
    <xf numFmtId="170" fontId="0" fillId="10" borderId="0" pivotButton="0" quotePrefix="0" xfId="0"/>
    <xf numFmtId="10" fontId="0" fillId="10" borderId="0" applyAlignment="1" pivotButton="0" quotePrefix="0" xfId="0">
      <alignment horizontal="center"/>
    </xf>
    <xf numFmtId="2" fontId="0" fillId="10" borderId="0" applyAlignment="1" pivotButton="0" quotePrefix="0" xfId="0">
      <alignment horizontal="center"/>
    </xf>
    <xf numFmtId="2" fontId="11" fillId="0" borderId="0" pivotButton="0" quotePrefix="0" xfId="0"/>
    <xf numFmtId="0" fontId="17" fillId="0" borderId="26" pivotButton="0" quotePrefix="0" xfId="0"/>
    <xf numFmtId="10" fontId="11" fillId="0" borderId="0" pivotButton="0" quotePrefix="0" xfId="0"/>
    <xf numFmtId="49" fontId="7" fillId="11" borderId="5" applyAlignment="1" pivotButton="0" quotePrefix="0" xfId="0">
      <alignment horizontal="center" vertical="center" wrapText="1"/>
    </xf>
    <xf numFmtId="170" fontId="0" fillId="11" borderId="5" applyAlignment="1" pivotButton="0" quotePrefix="0" xfId="0">
      <alignment horizontal="center" vertical="center" wrapText="1"/>
    </xf>
    <xf numFmtId="170" fontId="0" fillId="11" borderId="15" applyAlignment="1" pivotButton="0" quotePrefix="0" xfId="0">
      <alignment vertical="center" wrapText="1"/>
    </xf>
    <xf numFmtId="170" fontId="0" fillId="11" borderId="17" applyAlignment="1" pivotButton="0" quotePrefix="0" xfId="0">
      <alignment vertical="center" wrapText="1"/>
    </xf>
    <xf numFmtId="170" fontId="0" fillId="11" borderId="0" pivotButton="0" quotePrefix="0" xfId="0"/>
    <xf numFmtId="0" fontId="10" fillId="7" borderId="0" applyAlignment="1" pivotButton="0" quotePrefix="0" xfId="0">
      <alignment vertical="bottom"/>
    </xf>
    <xf numFmtId="0" fontId="13" fillId="0" borderId="0" applyAlignment="1" pivotButton="0" quotePrefix="0" xfId="0">
      <alignment vertical="bottom"/>
    </xf>
    <xf numFmtId="0" fontId="0" fillId="1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18" fillId="12" borderId="1" applyAlignment="1" pivotButton="0" quotePrefix="0" xfId="0">
      <alignment vertical="center"/>
    </xf>
    <xf numFmtId="49" fontId="18" fillId="13" borderId="3" applyAlignment="1" pivotButton="0" quotePrefix="0" xfId="0">
      <alignment horizontal="center" vertical="center"/>
    </xf>
    <xf numFmtId="0" fontId="18" fillId="14" borderId="0" pivotButton="0" quotePrefix="0" xfId="0"/>
    <xf numFmtId="0" fontId="18" fillId="15" borderId="3" applyAlignment="1" pivotButton="0" quotePrefix="0" xfId="0">
      <alignment horizontal="center" vertical="center" wrapText="1"/>
    </xf>
    <xf numFmtId="0" fontId="18" fillId="12" borderId="0" pivotButton="0" quotePrefix="0" xfId="0"/>
    <xf numFmtId="0" fontId="18" fillId="16" borderId="0" pivotButton="0" quotePrefix="0" xfId="0"/>
    <xf numFmtId="0" fontId="18" fillId="14" borderId="0" applyAlignment="1" pivotButton="0" quotePrefix="0" xfId="0">
      <alignment horizontal="center" vertical="center"/>
    </xf>
    <xf numFmtId="0" fontId="18" fillId="17" borderId="0" applyAlignment="1" pivotButton="0" quotePrefix="0" xfId="0">
      <alignment horizontal="center" vertical="center"/>
    </xf>
    <xf numFmtId="0" fontId="18" fillId="18" borderId="0" pivotButton="0" quotePrefix="0" xfId="0"/>
    <xf numFmtId="49" fontId="19" fillId="12" borderId="5" applyAlignment="1" pivotButton="0" quotePrefix="0" xfId="0">
      <alignment horizontal="center" vertical="center" wrapText="1"/>
    </xf>
    <xf numFmtId="0" fontId="19" fillId="12" borderId="5" applyAlignment="1" pivotButton="0" quotePrefix="0" xfId="0">
      <alignment horizontal="center" vertical="center" wrapText="1"/>
    </xf>
    <xf numFmtId="49" fontId="19" fillId="13" borderId="5" applyAlignment="1" pivotButton="0" quotePrefix="0" xfId="0">
      <alignment horizontal="center" vertical="center" wrapText="1"/>
    </xf>
    <xf numFmtId="49" fontId="19" fillId="14" borderId="5" applyAlignment="1" pivotButton="0" quotePrefix="0" xfId="0">
      <alignment horizontal="center" vertical="center" wrapText="1"/>
    </xf>
    <xf numFmtId="49" fontId="19" fillId="15" borderId="5" applyAlignment="1" pivotButton="0" quotePrefix="0" xfId="0">
      <alignment horizontal="center" vertical="center" wrapText="1"/>
    </xf>
    <xf numFmtId="49" fontId="19" fillId="16" borderId="5" applyAlignment="1" pivotButton="0" quotePrefix="0" xfId="0">
      <alignment horizontal="center" vertical="center" wrapText="1"/>
    </xf>
    <xf numFmtId="49" fontId="19" fillId="17" borderId="5" applyAlignment="1" pivotButton="0" quotePrefix="0" xfId="0">
      <alignment horizontal="center" vertical="center" wrapText="1"/>
    </xf>
    <xf numFmtId="0" fontId="19" fillId="17" borderId="0" applyAlignment="1" pivotButton="0" quotePrefix="0" xfId="0">
      <alignment horizontal="center" vertical="center" wrapText="1"/>
    </xf>
    <xf numFmtId="0" fontId="19" fillId="12" borderId="0" applyAlignment="1" pivotButton="0" quotePrefix="0" xfId="0">
      <alignment horizontal="center" vertical="center" wrapText="1"/>
    </xf>
    <xf numFmtId="0" fontId="19" fillId="18" borderId="0" applyAlignment="1" pivotButton="0" quotePrefix="0" xfId="0">
      <alignment horizontal="center" vertical="center" wrapText="1"/>
    </xf>
    <xf numFmtId="0" fontId="0" fillId="19" borderId="5" applyAlignment="1" pivotButton="0" quotePrefix="0" xfId="0">
      <alignment vertical="center" wrapText="1"/>
    </xf>
    <xf numFmtId="0" fontId="0" fillId="19" borderId="0" applyAlignment="1" pivotButton="0" quotePrefix="0" xfId="0">
      <alignment vertical="bottom"/>
    </xf>
    <xf numFmtId="1" fontId="0" fillId="19" borderId="0" applyAlignment="1" pivotButton="0" quotePrefix="0" xfId="0">
      <alignment vertical="bottom"/>
    </xf>
    <xf numFmtId="0" fontId="0" fillId="19" borderId="9" applyAlignment="1" pivotButton="0" quotePrefix="0" xfId="0">
      <alignment horizontal="center" vertical="center" wrapText="1"/>
    </xf>
    <xf numFmtId="10" fontId="0" fillId="21" borderId="5" applyAlignment="1" pivotButton="0" quotePrefix="0" xfId="0">
      <alignment horizontal="center"/>
    </xf>
    <xf numFmtId="2" fontId="0" fillId="21" borderId="5" applyAlignment="1" pivotButton="0" quotePrefix="0" xfId="0">
      <alignment horizontal="center"/>
    </xf>
    <xf numFmtId="2" fontId="0" fillId="19" borderId="5" applyAlignment="1" pivotButton="0" quotePrefix="0" xfId="0">
      <alignment vertical="center"/>
    </xf>
    <xf numFmtId="171" fontId="0" fillId="19" borderId="5" applyAlignment="1" pivotButton="0" quotePrefix="0" xfId="0">
      <alignment vertical="center"/>
    </xf>
    <xf numFmtId="2" fontId="0" fillId="22" borderId="5" applyAlignment="1" pivotButton="0" quotePrefix="0" xfId="0">
      <alignment horizontal="center"/>
    </xf>
    <xf numFmtId="169" fontId="0" fillId="22" borderId="5" applyAlignment="1" pivotButton="0" quotePrefix="0" xfId="0">
      <alignment vertical="center"/>
    </xf>
    <xf numFmtId="2" fontId="0" fillId="22" borderId="5" applyAlignment="1" pivotButton="0" quotePrefix="0" xfId="0">
      <alignment vertical="center"/>
    </xf>
    <xf numFmtId="170" fontId="0" fillId="22" borderId="5" applyAlignment="1" pivotButton="0" quotePrefix="0" xfId="0">
      <alignment vertical="center"/>
    </xf>
    <xf numFmtId="10" fontId="0" fillId="20" borderId="5" applyAlignment="1" pivotButton="0" quotePrefix="0" xfId="0">
      <alignment vertical="center"/>
    </xf>
    <xf numFmtId="170" fontId="0" fillId="20" borderId="5" applyAlignment="1" pivotButton="0" quotePrefix="0" xfId="0">
      <alignment vertical="center"/>
    </xf>
    <xf numFmtId="169" fontId="0" fillId="20" borderId="5" applyAlignment="1" pivotButton="0" quotePrefix="0" xfId="0">
      <alignment vertical="center"/>
    </xf>
    <xf numFmtId="170" fontId="6" fillId="20" borderId="5" applyAlignment="1" pivotButton="0" quotePrefix="0" xfId="0">
      <alignment vertical="center"/>
    </xf>
    <xf numFmtId="10" fontId="6" fillId="23" borderId="5" applyAlignment="1" pivotButton="0" quotePrefix="0" xfId="0">
      <alignment vertical="center"/>
    </xf>
    <xf numFmtId="170" fontId="6" fillId="23" borderId="5" applyAlignment="1" pivotButton="0" quotePrefix="0" xfId="0">
      <alignment vertical="center"/>
    </xf>
    <xf numFmtId="169" fontId="6" fillId="23" borderId="5" applyAlignment="1" pivotButton="0" quotePrefix="0" xfId="0">
      <alignment vertical="center"/>
    </xf>
    <xf numFmtId="170" fontId="0" fillId="23" borderId="0" applyAlignment="1" pivotButton="0" quotePrefix="0" xfId="0">
      <alignment vertical="bottom"/>
    </xf>
    <xf numFmtId="10" fontId="0" fillId="23" borderId="0" applyAlignment="1" pivotButton="0" quotePrefix="0" xfId="0">
      <alignment vertical="bottom"/>
    </xf>
    <xf numFmtId="170" fontId="0" fillId="23" borderId="0" pivotButton="0" quotePrefix="0" xfId="0"/>
    <xf numFmtId="0" fontId="0" fillId="19" borderId="0" applyAlignment="1" pivotButton="0" quotePrefix="0" xfId="0">
      <alignment horizontal="center"/>
    </xf>
    <xf numFmtId="2" fontId="0" fillId="19" borderId="0" applyAlignment="1" pivotButton="0" quotePrefix="0" xfId="0">
      <alignment vertical="bottom"/>
    </xf>
    <xf numFmtId="169" fontId="0" fillId="19" borderId="0" applyAlignment="1" pivotButton="0" quotePrefix="0" xfId="0">
      <alignment vertical="bottom"/>
    </xf>
    <xf numFmtId="0" fontId="0" fillId="24" borderId="0" applyAlignment="1" pivotButton="0" quotePrefix="0" xfId="0">
      <alignment vertical="bottom"/>
    </xf>
    <xf numFmtId="0" fontId="0" fillId="19" borderId="16" applyAlignment="1" pivotButton="0" quotePrefix="0" xfId="0">
      <alignment vertical="center"/>
    </xf>
    <xf numFmtId="0" fontId="0" fillId="19" borderId="0" pivotButton="0" quotePrefix="0" xfId="0"/>
    <xf numFmtId="0" fontId="0" fillId="19" borderId="15" applyAlignment="1" pivotButton="0" quotePrefix="0" xfId="0">
      <alignment vertical="center" wrapText="1"/>
    </xf>
    <xf numFmtId="10" fontId="0" fillId="21" borderId="15" applyAlignment="1" pivotButton="0" quotePrefix="0" xfId="0">
      <alignment horizontal="center"/>
    </xf>
    <xf numFmtId="2" fontId="0" fillId="21" borderId="15" applyAlignment="1" pivotButton="0" quotePrefix="0" xfId="0">
      <alignment horizontal="center"/>
    </xf>
    <xf numFmtId="2" fontId="0" fillId="19" borderId="15" applyAlignment="1" pivotButton="0" quotePrefix="0" xfId="0">
      <alignment vertical="center"/>
    </xf>
    <xf numFmtId="171" fontId="0" fillId="19" borderId="15" applyAlignment="1" pivotButton="0" quotePrefix="0" xfId="0">
      <alignment vertical="center"/>
    </xf>
    <xf numFmtId="2" fontId="0" fillId="22" borderId="15" applyAlignment="1" pivotButton="0" quotePrefix="0" xfId="0">
      <alignment horizontal="center"/>
    </xf>
    <xf numFmtId="169" fontId="0" fillId="22" borderId="15" applyAlignment="1" pivotButton="0" quotePrefix="0" xfId="0">
      <alignment vertical="center"/>
    </xf>
    <xf numFmtId="2" fontId="0" fillId="22" borderId="15" applyAlignment="1" pivotButton="0" quotePrefix="0" xfId="0">
      <alignment vertical="center"/>
    </xf>
    <xf numFmtId="170" fontId="0" fillId="22" borderId="15" applyAlignment="1" pivotButton="0" quotePrefix="0" xfId="0">
      <alignment vertical="center"/>
    </xf>
    <xf numFmtId="10" fontId="0" fillId="20" borderId="15" applyAlignment="1" pivotButton="0" quotePrefix="0" xfId="0">
      <alignment vertical="center"/>
    </xf>
    <xf numFmtId="170" fontId="0" fillId="20" borderId="15" applyAlignment="1" pivotButton="0" quotePrefix="0" xfId="0">
      <alignment vertical="center"/>
    </xf>
    <xf numFmtId="169" fontId="0" fillId="20" borderId="15" applyAlignment="1" pivotButton="0" quotePrefix="0" xfId="0">
      <alignment vertical="center"/>
    </xf>
    <xf numFmtId="10" fontId="0" fillId="23" borderId="15" applyAlignment="1" pivotButton="0" quotePrefix="0" xfId="0">
      <alignment vertical="center"/>
    </xf>
    <xf numFmtId="170" fontId="0" fillId="23" borderId="15" applyAlignment="1" pivotButton="0" quotePrefix="0" xfId="0">
      <alignment vertical="center"/>
    </xf>
    <xf numFmtId="169" fontId="0" fillId="23" borderId="15" applyAlignment="1" pivotButton="0" quotePrefix="0" xfId="0">
      <alignment vertical="center"/>
    </xf>
    <xf numFmtId="169" fontId="0" fillId="19" borderId="0" pivotButton="0" quotePrefix="0" xfId="0"/>
    <xf numFmtId="0" fontId="0" fillId="19" borderId="17" applyAlignment="1" pivotButton="0" quotePrefix="0" xfId="0">
      <alignment vertical="center"/>
    </xf>
    <xf numFmtId="0" fontId="0" fillId="19" borderId="17" applyAlignment="1" pivotButton="0" quotePrefix="0" xfId="0">
      <alignment vertical="center" wrapText="1"/>
    </xf>
    <xf numFmtId="10" fontId="0" fillId="21" borderId="17" applyAlignment="1" pivotButton="0" quotePrefix="0" xfId="0">
      <alignment horizontal="center"/>
    </xf>
    <xf numFmtId="2" fontId="0" fillId="21" borderId="17" applyAlignment="1" pivotButton="0" quotePrefix="0" xfId="0">
      <alignment horizontal="center"/>
    </xf>
    <xf numFmtId="2" fontId="0" fillId="19" borderId="17" applyAlignment="1" pivotButton="0" quotePrefix="0" xfId="0">
      <alignment vertical="center"/>
    </xf>
    <xf numFmtId="171" fontId="0" fillId="19" borderId="17" applyAlignment="1" pivotButton="0" quotePrefix="0" xfId="0">
      <alignment vertical="center"/>
    </xf>
    <xf numFmtId="2" fontId="0" fillId="22" borderId="17" applyAlignment="1" pivotButton="0" quotePrefix="0" xfId="0">
      <alignment horizontal="center"/>
    </xf>
    <xf numFmtId="169" fontId="0" fillId="22" borderId="17" applyAlignment="1" pivotButton="0" quotePrefix="0" xfId="0">
      <alignment vertical="center"/>
    </xf>
    <xf numFmtId="2" fontId="0" fillId="22" borderId="17" applyAlignment="1" pivotButton="0" quotePrefix="0" xfId="0">
      <alignment vertical="center"/>
    </xf>
    <xf numFmtId="170" fontId="0" fillId="22" borderId="17" applyAlignment="1" pivotButton="0" quotePrefix="0" xfId="0">
      <alignment vertical="center"/>
    </xf>
    <xf numFmtId="10" fontId="0" fillId="20" borderId="17" applyAlignment="1" pivotButton="0" quotePrefix="0" xfId="0">
      <alignment vertical="center"/>
    </xf>
    <xf numFmtId="170" fontId="0" fillId="20" borderId="17" applyAlignment="1" pivotButton="0" quotePrefix="0" xfId="0">
      <alignment vertical="center"/>
    </xf>
    <xf numFmtId="169" fontId="0" fillId="20" borderId="17" applyAlignment="1" pivotButton="0" quotePrefix="0" xfId="0">
      <alignment vertical="center"/>
    </xf>
    <xf numFmtId="10" fontId="0" fillId="23" borderId="17" applyAlignment="1" pivotButton="0" quotePrefix="0" xfId="0">
      <alignment vertical="center"/>
    </xf>
    <xf numFmtId="170" fontId="0" fillId="23" borderId="17" applyAlignment="1" pivotButton="0" quotePrefix="0" xfId="0">
      <alignment vertical="center"/>
    </xf>
    <xf numFmtId="169" fontId="0" fillId="23" borderId="17" applyAlignment="1" pivotButton="0" quotePrefix="0" xfId="0">
      <alignment vertical="center"/>
    </xf>
    <xf numFmtId="10" fontId="0" fillId="21" borderId="0" applyAlignment="1" pivotButton="0" quotePrefix="0" xfId="0">
      <alignment horizontal="center"/>
    </xf>
    <xf numFmtId="2" fontId="0" fillId="21" borderId="0" applyAlignment="1" pivotButton="0" quotePrefix="0" xfId="0">
      <alignment horizontal="center"/>
    </xf>
    <xf numFmtId="171" fontId="0" fillId="19" borderId="0" applyAlignment="1" pivotButton="0" quotePrefix="0" xfId="0">
      <alignment vertical="bottom"/>
    </xf>
    <xf numFmtId="2" fontId="0" fillId="22" borderId="0" applyAlignment="1" pivotButton="0" quotePrefix="0" xfId="0">
      <alignment horizontal="center"/>
    </xf>
    <xf numFmtId="169" fontId="0" fillId="22" borderId="0" pivotButton="0" quotePrefix="0" xfId="0"/>
    <xf numFmtId="2" fontId="0" fillId="22" borderId="0" pivotButton="0" quotePrefix="0" xfId="0"/>
    <xf numFmtId="170" fontId="0" fillId="22" borderId="0" pivotButton="0" quotePrefix="0" xfId="0"/>
    <xf numFmtId="10" fontId="0" fillId="20" borderId="0" applyAlignment="1" pivotButton="0" quotePrefix="0" xfId="0">
      <alignment vertical="bottom"/>
    </xf>
    <xf numFmtId="170" fontId="0" fillId="20" borderId="0" pivotButton="0" quotePrefix="0" xfId="0"/>
    <xf numFmtId="169" fontId="0" fillId="20" borderId="0" applyAlignment="1" pivotButton="0" quotePrefix="0" xfId="0">
      <alignment vertical="bottom"/>
    </xf>
    <xf numFmtId="170" fontId="0" fillId="20" borderId="0" applyAlignment="1" pivotButton="0" quotePrefix="0" xfId="0">
      <alignment vertical="bottom"/>
    </xf>
    <xf numFmtId="169" fontId="0" fillId="23" borderId="0" applyAlignment="1" pivotButton="0" quotePrefix="0" xfId="0">
      <alignment vertical="bottom"/>
    </xf>
    <xf numFmtId="0" fontId="16" fillId="0" borderId="0" pivotButton="0" quotePrefix="0" xfId="0"/>
    <xf numFmtId="0" fontId="10" fillId="12" borderId="0" pivotButton="0" quotePrefix="0" xfId="0"/>
    <xf numFmtId="0" fontId="19" fillId="12" borderId="26" applyAlignment="1" pivotButton="0" quotePrefix="0" xfId="0">
      <alignment horizontal="center" vertical="center" wrapText="1"/>
    </xf>
    <xf numFmtId="2" fontId="17" fillId="19" borderId="26" pivotButton="0" quotePrefix="0" xfId="0"/>
    <xf numFmtId="0" fontId="17" fillId="19" borderId="26" applyAlignment="1" pivotButton="0" quotePrefix="0" xfId="0">
      <alignment horizontal="center"/>
    </xf>
    <xf numFmtId="174" fontId="12" fillId="0" borderId="0" pivotButton="0" quotePrefix="0" xfId="0"/>
    <xf numFmtId="0" fontId="10" fillId="23" borderId="0" pivotButton="0" quotePrefix="0" xfId="0"/>
    <xf numFmtId="0" fontId="10" fillId="21" borderId="0" pivotButton="0" quotePrefix="0" xfId="0"/>
    <xf numFmtId="0" fontId="0" fillId="23" borderId="0" applyAlignment="1" pivotButton="0" quotePrefix="0" xfId="0">
      <alignment vertical="bottom"/>
    </xf>
    <xf numFmtId="0" fontId="0" fillId="21" borderId="0" pivotButton="0" quotePrefix="0" xfId="0"/>
    <xf numFmtId="0" fontId="0" fillId="21" borderId="0" applyAlignment="1" pivotButton="0" quotePrefix="0" xfId="0">
      <alignment vertical="bottom"/>
    </xf>
    <xf numFmtId="174" fontId="12" fillId="0" borderId="0" pivotButton="0" quotePrefix="0" xfId="0"/>
    <xf numFmtId="0" fontId="10" fillId="18" borderId="0" pivotButton="0" quotePrefix="0" xfId="0"/>
    <xf numFmtId="174" fontId="0" fillId="0" borderId="0" pivotButton="0" quotePrefix="0" xfId="0"/>
    <xf numFmtId="0" fontId="0" fillId="0" borderId="27" applyAlignment="1" pivotButton="0" quotePrefix="0" xfId="0">
      <alignment horizontal="center"/>
    </xf>
    <xf numFmtId="169" fontId="0" fillId="0" borderId="27" applyAlignment="1" pivotButton="0" quotePrefix="0" xfId="0">
      <alignment horizontal="center"/>
    </xf>
    <xf numFmtId="170" fontId="0" fillId="0" borderId="27" applyAlignment="1" pivotButton="0" quotePrefix="0" xfId="0">
      <alignment horizontal="center"/>
    </xf>
    <xf numFmtId="170" fontId="0" fillId="20" borderId="27" applyAlignment="1" pivotButton="0" quotePrefix="0" xfId="0">
      <alignment horizontal="center"/>
    </xf>
    <xf numFmtId="10" fontId="0" fillId="0" borderId="27" applyAlignment="1" pivotButton="0" quotePrefix="0" xfId="0">
      <alignment horizontal="center"/>
    </xf>
    <xf numFmtId="170" fontId="0" fillId="9" borderId="27" applyAlignment="1" pivotButton="0" quotePrefix="0" xfId="0">
      <alignment horizontal="center"/>
    </xf>
    <xf numFmtId="0" fontId="7" fillId="20" borderId="0" pivotButton="0" quotePrefix="0" xfId="0"/>
    <xf numFmtId="0" fontId="7" fillId="25" borderId="0" pivotButton="0" quotePrefix="0" xfId="0"/>
    <xf numFmtId="169" fontId="0" fillId="20" borderId="0" pivotButton="0" quotePrefix="0" xfId="0"/>
    <xf numFmtId="169" fontId="0" fillId="21" borderId="0" pivotButton="0" quotePrefix="0" xfId="0"/>
    <xf numFmtId="10" fontId="0" fillId="20" borderId="0" pivotButton="0" quotePrefix="0" xfId="0"/>
    <xf numFmtId="170" fontId="9" fillId="9" borderId="0" pivotButton="0" quotePrefix="0" xfId="0"/>
    <xf numFmtId="172" fontId="0" fillId="19" borderId="0" pivotButton="0" quotePrefix="0" xfId="0"/>
    <xf numFmtId="0" fontId="7" fillId="25" borderId="27" pivotButton="0" quotePrefix="0" xfId="0"/>
    <xf numFmtId="0" fontId="7" fillId="9" borderId="27" pivotButton="0" quotePrefix="0" xfId="0"/>
    <xf numFmtId="3" fontId="0" fillId="9" borderId="27" pivotButton="0" quotePrefix="0" xfId="0"/>
    <xf numFmtId="170" fontId="0" fillId="9" borderId="27" pivotButton="0" quotePrefix="0" xfId="0"/>
    <xf numFmtId="4" fontId="0" fillId="9" borderId="27" pivotButton="0" quotePrefix="0" xfId="0"/>
    <xf numFmtId="169" fontId="0" fillId="9" borderId="27" pivotButton="0" quotePrefix="0" xfId="0"/>
    <xf numFmtId="0" fontId="0" fillId="9" borderId="27" pivotButton="0" quotePrefix="0" xfId="0"/>
    <xf numFmtId="0" fontId="0" fillId="20" borderId="27" pivotButton="0" quotePrefix="0" xfId="0"/>
    <xf numFmtId="10" fontId="0" fillId="9" borderId="27" pivotButton="0" quotePrefix="0" xfId="0"/>
    <xf numFmtId="171" fontId="0" fillId="9" borderId="27" pivotButton="0" quotePrefix="0" xfId="0"/>
    <xf numFmtId="0" fontId="0" fillId="0" borderId="30" pivotButton="0" quotePrefix="0" xfId="0"/>
    <xf numFmtId="0" fontId="0" fillId="0" borderId="31" pivotButton="0" quotePrefix="0" xfId="0"/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9c0006"/>
      </font>
      <fill>
        <patternFill patternType="solid">
          <fgColor indexed="15"/>
          <bgColor indexed="16"/>
        </patternFill>
      </fill>
    </dxf>
    <dxf>
      <font>
        <color rgb="ff9c0006"/>
      </font>
      <fill>
        <patternFill patternType="solid">
          <fgColor indexed="15"/>
          <bgColor indexed="16"/>
        </patternFill>
      </fill>
    </dxf>
    <dxf>
      <font>
        <color rgb="ff9c0006"/>
      </font>
      <fill>
        <patternFill patternType="solid">
          <fgColor indexed="15"/>
          <bgColor indexed="16"/>
        </patternFill>
      </fill>
    </dxf>
    <dxf>
      <font>
        <color rgb="009C0006"/>
      </font>
      <fill>
        <patternFill patternType="solid">
          <fgColor rgb="00FFCCCC"/>
          <bgColor rgb="00FFCCCC"/>
        </patternFill>
      </fill>
    </dxf>
    <dxf>
      <font>
        <color rgb="009C5700"/>
      </font>
      <fill>
        <patternFill patternType="solid">
          <fgColor rgb="00FFEB9C"/>
          <bgColor rgb="00FFEB9C"/>
        </patternFill>
      </fill>
    </dxf>
    <dxf>
      <fill>
        <patternFill patternType="solid">
          <fgColor rgb="00FCE4EC"/>
          <bgColor rgb="00FCE4EC"/>
        </patternFill>
      </fill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0b050"/>
      <rgbColor rgb="ffffc000"/>
      <rgbColor rgb="ffffff00"/>
      <rgbColor rgb="ffff0000"/>
      <rgbColor rgb="00000000"/>
      <rgbColor rgb="ffffc7ce"/>
      <rgbColor rgb="ff9c0006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6" customWidth="1" style="67" min="1" max="1"/>
    <col width="55" customWidth="1" style="67" min="2" max="2"/>
    <col width="40" customWidth="1" style="67" min="3" max="3"/>
  </cols>
  <sheetData>
    <row r="1">
      <c r="A1" s="150" t="inlineStr">
        <is>
          <t>参数（可改）</t>
        </is>
      </c>
    </row>
    <row r="2">
      <c r="A2" s="1" t="inlineStr">
        <is>
          <t>美元兑人民币汇率 (USD→CNY)</t>
        </is>
      </c>
      <c r="B2" s="151" t="n">
        <v>6.683751</v>
      </c>
      <c r="C2" s="1" t="inlineStr">
        <is>
          <t>← 主表「汇率」列全部引用此格</t>
        </is>
      </c>
    </row>
    <row r="3">
      <c r="A3" s="1" t="inlineStr">
        <is>
          <t>更新日期/来源时间</t>
        </is>
      </c>
      <c r="B3" s="1" t="inlineStr">
        <is>
          <t>Tue, 27 Oct 2026 00:02:31 +0000</t>
        </is>
      </c>
    </row>
    <row r="4">
      <c r="A4" s="1" t="inlineStr">
        <is>
          <t>数据来源</t>
        </is>
      </c>
      <c r="B4" s="1" t="inlineStr">
        <is>
          <t>https://open.er-api.com/v6/latest/USD</t>
        </is>
      </c>
    </row>
    <row r="5">
      <c r="A5" s="1" t="inlineStr">
        <is>
          <t>说明</t>
        </is>
      </c>
      <c r="B5" s="1" t="inlineStr">
        <is>
          <t>每日运行「更新汇率.py」自动刷新；也可手动改 B2。</t>
        </is>
      </c>
    </row>
    <row r="7">
      <c r="A7" s="1" t="inlineStr">
        <is>
          <t>汇率请运行 更新汇率.py，或手动改 B2（勿用 WEBSERVICE）</t>
        </is>
      </c>
      <c r="B7" s="104" t="n"/>
    </row>
    <row r="9">
      <c r="A9" s="1" t="inlineStr">
        <is>
          <t>固定费率默认</t>
        </is>
      </c>
    </row>
    <row r="10">
      <c r="A10" s="1" t="inlineStr">
        <is>
          <t>佣金率</t>
        </is>
      </c>
      <c r="B10" s="142" t="n">
        <v>0.15</v>
      </c>
      <c r="C10" s="1" t="inlineStr">
        <is>
          <t>主表 I–L 已按此写入，可按行单独改</t>
        </is>
      </c>
    </row>
    <row r="11">
      <c r="A11" s="1" t="inlineStr">
        <is>
          <t>退款率</t>
        </is>
      </c>
      <c r="B11" s="142" t="n">
        <v>0.07000000000000001</v>
      </c>
    </row>
    <row r="12">
      <c r="A12" s="1" t="inlineStr">
        <is>
          <t>广告率</t>
        </is>
      </c>
      <c r="B12" s="142" t="n">
        <v>0.15</v>
      </c>
    </row>
    <row r="13">
      <c r="A13" s="1" t="inlineStr">
        <is>
          <t>提现费率</t>
        </is>
      </c>
      <c r="B13" s="142" t="n">
        <v>0.01</v>
      </c>
    </row>
    <row r="15">
      <c r="A15" s="1" t="inlineStr">
        <is>
          <t>地毯采购单价(RMB/㎡)</t>
        </is>
      </c>
      <c r="B15" s="173" t="n">
        <v>19</v>
      </c>
      <c r="C15" s="1" t="inlineStr">
        <is>
          <t>主表 U 列已固定为19；改这里后请同步改主表U列，或改主表U为 =参数!$B$15</t>
        </is>
      </c>
    </row>
    <row r="16">
      <c r="A16" s="1" t="inlineStr">
        <is>
          <t>目标利润率(利润售价)</t>
        </is>
      </c>
      <c r="B16" s="175" t="n">
        <v>0.3</v>
      </c>
      <c r="C16" s="1" t="inlineStr">
        <is>
          <t>利润售价按此利润率反推（含退税口径）</t>
        </is>
      </c>
    </row>
    <row r="17">
      <c r="A17" s="1" t="inlineStr">
        <is>
          <t>保本口径</t>
        </is>
      </c>
      <c r="B17" s="1" t="inlineStr">
        <is>
          <t>利润(售价+退税-总成本)≥0，售价ROUNDUP到分</t>
        </is>
      </c>
    </row>
    <row r="18">
      <c r="A18" s="1" t="inlineStr">
        <is>
          <t>必填项</t>
        </is>
      </c>
      <c r="B18" s="1" t="inlineStr">
        <is>
          <t>尺寸(C) + 起运地(BE) + FBA仓(BF)；渠道(BH)可空=自动最低价；竞品售价不用填</t>
        </is>
      </c>
    </row>
    <row r="19">
      <c r="A19" s="1" t="inlineStr">
        <is>
          <t>费用口径</t>
        </is>
      </c>
      <c r="B19" s="1" t="inlineStr">
        <is>
          <t>全部按「一件」：头程=单箱运费÷装数；FBA按单件净重；采购按单件面积×19</t>
        </is>
      </c>
    </row>
    <row r="20">
      <c r="A20" s="1" t="inlineStr">
        <is>
          <t>装数来源</t>
        </is>
      </c>
      <c r="B20" s="1" t="inlineStr">
        <is>
          <t>箱规「装箱数（件）」</t>
        </is>
      </c>
    </row>
    <row r="21">
      <c r="A21" s="1" t="inlineStr">
        <is>
          <t>FBA规则</t>
        </is>
      </c>
      <c r="B21" s="1" t="inlineStr">
        <is>
          <t>美站2025非旺季家居口径，详见「FBA规则」表；可改该表费率参数</t>
        </is>
      </c>
    </row>
    <row r="22">
      <c r="A22" s="1" t="inlineStr">
        <is>
          <t>预计发货/出库日期</t>
        </is>
      </c>
      <c r="B22" s="287" t="n">
        <v>46322</v>
      </c>
      <c r="C22" s="1" t="inlineStr">
        <is>
          <t>← 改这个日期，FBA自动切换旺季/非旺季费率</t>
        </is>
      </c>
    </row>
    <row r="23">
      <c r="A23" s="1" t="inlineStr">
        <is>
          <t>当前季节</t>
        </is>
      </c>
      <c r="B23" s="150">
        <f>IF(B22="","",IF(OR(AND(MONTH(B22)=10,DAY(B22)&gt;=15),MONTH(B22)=11,MONTH(B22)=12,AND(MONTH(B22)=1,DAY(B22)&lt;=14)),"旺季","非旺季"))</f>
        <v/>
      </c>
      <c r="C23" s="1" t="inlineStr">
        <is>
          <t>旺季：每年10/15–次年1/14（美站FBA假日旺季）</t>
        </is>
      </c>
    </row>
    <row r="24">
      <c r="A24" s="1" t="inlineStr">
        <is>
          <t>旺季开始(月-日)</t>
        </is>
      </c>
      <c r="B24" s="1" t="inlineStr">
        <is>
          <t>10-15</t>
        </is>
      </c>
    </row>
    <row r="25">
      <c r="A25" s="1" t="inlineStr">
        <is>
          <t>旺季结束(月-日)</t>
        </is>
      </c>
      <c r="B25" s="1" t="inlineStr">
        <is>
          <t>01-14</t>
        </is>
      </c>
    </row>
    <row r="26">
      <c r="A26" s="1" t="inlineStr">
        <is>
          <t>说明</t>
        </is>
      </c>
      <c r="B26" s="1" t="inlineStr">
        <is>
          <t>费用按「货件离开运营中心」日期计；填预计出库日即可估算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28" customWidth="1" style="67" min="1" max="1"/>
    <col width="18" customWidth="1" style="67" min="2" max="2"/>
    <col width="42" customWidth="1" style="67" min="3" max="3"/>
    <col width="28" customWidth="1" style="67" min="4" max="4"/>
    <col width="14" customWidth="1" style="67" min="5" max="5"/>
    <col width="14" customWidth="1" style="67" min="6" max="6"/>
    <col width="36" customWidth="1" style="67" min="7" max="7"/>
  </cols>
  <sheetData>
    <row r="1">
      <c r="A1" s="276" t="inlineStr">
        <is>
          <t>Amazon美国站 FBA 配送费规则（非服装鞋靴·按发货日判旺季/非旺季）</t>
        </is>
      </c>
    </row>
    <row r="2">
      <c r="A2" s="1" t="inlineStr">
        <is>
          <t>主表发货日期在「参数!B22」。旺季=每年10/15–1/14。计费重→尺寸段→按季节查费率。</t>
        </is>
      </c>
    </row>
    <row r="4">
      <c r="A4" s="99" t="inlineStr">
        <is>
          <t>换算与计费重</t>
        </is>
      </c>
    </row>
    <row r="5">
      <c r="A5" s="1" t="inlineStr">
        <is>
          <t>cm→inch</t>
        </is>
      </c>
      <c r="B5" s="1" t="n">
        <v>2.54</v>
      </c>
    </row>
    <row r="6">
      <c r="A6" s="1" t="inlineStr">
        <is>
          <t>kg→lb</t>
        </is>
      </c>
      <c r="B6" s="1" t="n">
        <v>2.20462262</v>
      </c>
    </row>
    <row r="7">
      <c r="A7" s="1" t="inlineStr">
        <is>
          <t>抛重除数(inch³/lb)</t>
        </is>
      </c>
      <c r="B7" s="1" t="n">
        <v>139</v>
      </c>
    </row>
    <row r="8">
      <c r="A8" s="1" t="inlineStr">
        <is>
          <t>计费重</t>
        </is>
      </c>
      <c r="B8" s="1" t="inlineStr">
        <is>
          <t>MAX(实重lb, 抛重lb)；小标准件费用只用实重</t>
        </is>
      </c>
    </row>
    <row r="9">
      <c r="A9" s="1" t="inlineStr">
        <is>
          <t>围长相关</t>
        </is>
      </c>
      <c r="B9" s="1" t="inlineStr">
        <is>
          <t>长+围长 = 最长边 + 2×(中边+短边)</t>
        </is>
      </c>
    </row>
    <row r="11">
      <c r="A11" s="99" t="inlineStr">
        <is>
          <t>尺寸分段判定（同时满足才落入该段；从上到下先匹配小标准→大标准→大件→超大）</t>
        </is>
      </c>
    </row>
    <row r="12">
      <c r="A12" s="277" t="inlineStr">
        <is>
          <t>分段</t>
        </is>
      </c>
      <c r="B12" s="277" t="inlineStr">
        <is>
          <t>计费重上限(lb)</t>
        </is>
      </c>
      <c r="C12" s="277" t="inlineStr">
        <is>
          <t>最长边(in)</t>
        </is>
      </c>
      <c r="D12" s="277" t="inlineStr">
        <is>
          <t>中边(in)</t>
        </is>
      </c>
      <c r="E12" s="277" t="inlineStr">
        <is>
          <t>最短边(in)</t>
        </is>
      </c>
      <c r="F12" s="277" t="inlineStr">
        <is>
          <t>长+围长(in)</t>
        </is>
      </c>
      <c r="G12" s="277" t="inlineStr">
        <is>
          <t>说明</t>
        </is>
      </c>
    </row>
    <row r="13">
      <c r="A13" s="1" t="inlineStr">
        <is>
          <t>小标准 Small Standard</t>
        </is>
      </c>
      <c r="B13" s="1" t="n">
        <v>1</v>
      </c>
      <c r="C13" s="1" t="n">
        <v>15</v>
      </c>
      <c r="D13" s="1" t="n">
        <v>12</v>
      </c>
      <c r="E13" s="1" t="n">
        <v>0.75</v>
      </c>
      <c r="G13" s="1" t="inlineStr">
        <is>
          <t>≤16oz；费用按实重oz</t>
        </is>
      </c>
    </row>
    <row r="14">
      <c r="A14" s="1" t="inlineStr">
        <is>
          <t>大标准 Large Standard</t>
        </is>
      </c>
      <c r="B14" s="1" t="n">
        <v>20</v>
      </c>
      <c r="C14" s="1" t="n">
        <v>18</v>
      </c>
      <c r="D14" s="1" t="n">
        <v>14</v>
      </c>
      <c r="E14" s="1" t="n">
        <v>8</v>
      </c>
      <c r="G14" s="1" t="inlineStr">
        <is>
          <t>最常见；计费重=max(实重,抛重)</t>
        </is>
      </c>
    </row>
    <row r="15">
      <c r="A15" s="1" t="inlineStr">
        <is>
          <t>大件 Large Bulky</t>
        </is>
      </c>
      <c r="B15" s="1" t="n">
        <v>50</v>
      </c>
      <c r="C15" s="1" t="n">
        <v>59</v>
      </c>
      <c r="D15" s="1" t="n">
        <v>33</v>
      </c>
      <c r="E15" s="1" t="n">
        <v>33</v>
      </c>
      <c r="F15" s="1" t="n">
        <v>130</v>
      </c>
      <c r="G15" s="1" t="inlineStr">
        <is>
          <t>超标准尺寸但仍在大件限内</t>
        </is>
      </c>
    </row>
    <row r="16">
      <c r="A16" s="1" t="inlineStr">
        <is>
          <t>超大XL 0-50lb</t>
        </is>
      </c>
      <c r="B16" s="1" t="n">
        <v>50</v>
      </c>
      <c r="G16" s="1" t="inlineStr">
        <is>
          <t>超出大件任一边/围长/或计费重逻辑</t>
        </is>
      </c>
    </row>
    <row r="17">
      <c r="A17" s="1" t="inlineStr">
        <is>
          <t>超大XL 50-70lb</t>
        </is>
      </c>
      <c r="B17" s="1" t="n">
        <v>70</v>
      </c>
      <c r="G17" s="1" t="inlineStr">
        <is>
          <t>计费重&gt;50且≤70</t>
        </is>
      </c>
    </row>
    <row r="18">
      <c r="A18" s="1" t="inlineStr">
        <is>
          <t>超大XL 70-150lb</t>
        </is>
      </c>
      <c r="B18" s="1" t="n">
        <v>150</v>
      </c>
      <c r="G18" s="1" t="inlineStr">
        <is>
          <t>计费重&gt;70且≤150</t>
        </is>
      </c>
    </row>
    <row r="19">
      <c r="A19" s="1" t="inlineStr">
        <is>
          <t>超大XL 150lb+</t>
        </is>
      </c>
      <c r="G19" s="1" t="inlineStr">
        <is>
          <t>计费重&gt;150</t>
        </is>
      </c>
    </row>
    <row r="22">
      <c r="A22" s="99" t="inlineStr">
        <is>
          <t>配送费（USD/件，非旺季）</t>
        </is>
      </c>
    </row>
    <row r="23">
      <c r="A23" s="277" t="inlineStr">
        <is>
          <t>分段</t>
        </is>
      </c>
      <c r="B23" s="277" t="inlineStr">
        <is>
          <t>计费重条件</t>
        </is>
      </c>
      <c r="C23" s="277" t="inlineStr">
        <is>
          <t>费用公式</t>
        </is>
      </c>
      <c r="D23" s="277" t="inlineStr">
        <is>
          <t>备注</t>
        </is>
      </c>
    </row>
    <row r="24">
      <c r="A24" s="1" t="inlineStr">
        <is>
          <t>小标准</t>
        </is>
      </c>
      <c r="B24" s="1" t="inlineStr">
        <is>
          <t>≤16 oz 分档</t>
        </is>
      </c>
      <c r="C24" s="1" t="inlineStr">
        <is>
          <t>见右侧小标准表 / 或简化≈3.06~3.65</t>
        </is>
      </c>
      <c r="D24" s="1" t="inlineStr">
        <is>
          <t>地毯一般不会落入</t>
        </is>
      </c>
    </row>
    <row r="25">
      <c r="A25" s="1" t="inlineStr">
        <is>
          <t>大标准</t>
        </is>
      </c>
      <c r="B25" s="1" t="inlineStr">
        <is>
          <t>≤3 lb 分档；&gt;3 lb</t>
        </is>
      </c>
      <c r="C25" s="1" t="inlineStr">
        <is>
          <t>≤3lb查表；&gt;3lb：6.92+0.08×每4oz(向上)</t>
        </is>
      </c>
      <c r="D25" s="1" t="inlineStr">
        <is>
          <t>家居常见</t>
        </is>
      </c>
    </row>
    <row r="26">
      <c r="A26" s="1" t="inlineStr">
        <is>
          <t>大件 Large Bulky</t>
        </is>
      </c>
      <c r="B26" s="1" t="inlineStr">
        <is>
          <t>任意</t>
        </is>
      </c>
      <c r="C26" s="1" t="inlineStr">
        <is>
          <t>9.61+0.38×(计费重lb-1)（按lb向上取整间隔）</t>
        </is>
      </c>
      <c r="D26" s="1" t="inlineStr">
        <is>
          <t>超尺寸常用</t>
        </is>
      </c>
    </row>
    <row r="27">
      <c r="A27" s="1" t="inlineStr">
        <is>
          <t>超大 0-50</t>
        </is>
      </c>
      <c r="B27" s="1" t="inlineStr">
        <is>
          <t>≤50</t>
        </is>
      </c>
      <c r="C27" s="1" t="inlineStr">
        <is>
          <t>26.33+0.38×(计费重-1)</t>
        </is>
      </c>
      <c r="D27" s="1" t="inlineStr"/>
    </row>
    <row r="28">
      <c r="A28" s="1" t="inlineStr">
        <is>
          <t>超大 50-70</t>
        </is>
      </c>
      <c r="B28" s="1" t="inlineStr">
        <is>
          <t>50+~70</t>
        </is>
      </c>
      <c r="C28" s="1" t="inlineStr">
        <is>
          <t>40.12+0.75×(计费重-51)</t>
        </is>
      </c>
      <c r="D28" s="1" t="inlineStr"/>
    </row>
    <row r="29">
      <c r="A29" s="1" t="inlineStr">
        <is>
          <t>超大 70-150</t>
        </is>
      </c>
      <c r="B29" s="1" t="inlineStr">
        <is>
          <t>70+~150</t>
        </is>
      </c>
      <c r="C29" s="1" t="inlineStr">
        <is>
          <t>54.81+0.75×(计费重-71)</t>
        </is>
      </c>
      <c r="D29" s="1" t="inlineStr"/>
    </row>
    <row r="30">
      <c r="A30" s="1" t="inlineStr">
        <is>
          <t>超大 150+</t>
        </is>
      </c>
      <c r="B30" s="1" t="inlineStr">
        <is>
          <t>&gt;150</t>
        </is>
      </c>
      <c r="C30" s="1" t="inlineStr">
        <is>
          <t>194.95+0.19×(计费重-151)</t>
        </is>
      </c>
      <c r="D30" s="1" t="inlineStr"/>
    </row>
    <row r="33">
      <c r="A33" s="99" t="inlineStr">
        <is>
          <t>大标准费用档（计费重lb上限 → 非旺季 / 旺季）</t>
        </is>
      </c>
    </row>
    <row r="34">
      <c r="A34" s="277" t="inlineStr">
        <is>
          <t>上限lb</t>
        </is>
      </c>
      <c r="B34" s="282" t="inlineStr">
        <is>
          <t>非旺季USD</t>
        </is>
      </c>
      <c r="C34" s="283" t="inlineStr">
        <is>
          <t>旺季USD</t>
        </is>
      </c>
    </row>
    <row r="35">
      <c r="A35" s="1" t="n">
        <v>0.25</v>
      </c>
      <c r="B35" s="284" t="n">
        <v>3.68</v>
      </c>
      <c r="C35" s="285" t="n">
        <v>3.92</v>
      </c>
    </row>
    <row r="36">
      <c r="A36" s="1" t="n">
        <v>0.5</v>
      </c>
      <c r="B36" s="284" t="n">
        <v>3.9</v>
      </c>
      <c r="C36" s="285" t="n">
        <v>4.16</v>
      </c>
    </row>
    <row r="37">
      <c r="A37" s="1" t="n">
        <v>0.75</v>
      </c>
      <c r="B37" s="284" t="n">
        <v>4.15</v>
      </c>
      <c r="C37" s="285" t="n">
        <v>4.43</v>
      </c>
    </row>
    <row r="38">
      <c r="A38" s="1" t="n">
        <v>1</v>
      </c>
      <c r="B38" s="284" t="n">
        <v>4.55</v>
      </c>
      <c r="C38" s="285" t="n">
        <v>4.84</v>
      </c>
    </row>
    <row r="39">
      <c r="A39" s="1" t="n">
        <v>1.25</v>
      </c>
      <c r="B39" s="284" t="n">
        <v>4.99</v>
      </c>
      <c r="C39" s="285" t="n">
        <v>5.29</v>
      </c>
    </row>
    <row r="40">
      <c r="A40" s="1" t="n">
        <v>1.5</v>
      </c>
      <c r="B40" s="284" t="n">
        <v>5.37</v>
      </c>
      <c r="C40" s="285" t="n">
        <v>5.68</v>
      </c>
    </row>
    <row r="41">
      <c r="A41" s="1" t="n">
        <v>1.75</v>
      </c>
      <c r="B41" s="284" t="n">
        <v>5.52</v>
      </c>
      <c r="C41" s="285" t="n">
        <v>5.84</v>
      </c>
    </row>
    <row r="42">
      <c r="A42" s="1" t="n">
        <v>2</v>
      </c>
      <c r="B42" s="284" t="n">
        <v>5.77</v>
      </c>
      <c r="C42" s="285" t="n">
        <v>6.1</v>
      </c>
    </row>
    <row r="43">
      <c r="A43" s="1" t="n">
        <v>2.25</v>
      </c>
      <c r="B43" s="284" t="n">
        <v>5.87</v>
      </c>
      <c r="C43" s="285" t="n">
        <v>6.24</v>
      </c>
    </row>
    <row r="44">
      <c r="A44" s="1" t="n">
        <v>2.5</v>
      </c>
      <c r="B44" s="284" t="n">
        <v>6.05</v>
      </c>
      <c r="C44" s="285" t="n">
        <v>6.44</v>
      </c>
    </row>
    <row r="45">
      <c r="A45" s="1" t="n">
        <v>2.75</v>
      </c>
      <c r="B45" s="284" t="n">
        <v>6.21</v>
      </c>
      <c r="C45" s="285" t="n">
        <v>6.61</v>
      </c>
    </row>
    <row r="46">
      <c r="A46" s="1" t="n">
        <v>3</v>
      </c>
      <c r="B46" s="284" t="n">
        <v>6.62</v>
      </c>
      <c r="C46" s="285" t="n">
        <v>7.03</v>
      </c>
    </row>
    <row r="47">
      <c r="A47" s="1" t="inlineStr">
        <is>
          <t>大标准&gt;3lb</t>
        </is>
      </c>
      <c r="B47" s="284" t="n">
        <v>6.92</v>
      </c>
      <c r="C47" s="286" t="n">
        <v>7.46</v>
      </c>
      <c r="D47" s="1" t="n">
        <v>0.08</v>
      </c>
      <c r="E47" s="1" t="inlineStr">
        <is>
          <t>B非旺季基数 / C旺季基数 / D每4oz</t>
        </is>
      </c>
    </row>
    <row r="49">
      <c r="A49" s="1" t="inlineStr">
        <is>
          <t>大件/超大参数（B非旺季基数 C旺季基数 D每lb增量）</t>
        </is>
      </c>
    </row>
    <row r="50">
      <c r="A50" s="1" t="inlineStr">
        <is>
          <t>大件 Large Bulky</t>
        </is>
      </c>
      <c r="B50" s="284" t="n">
        <v>9.609999999999999</v>
      </c>
      <c r="C50" s="286" t="n">
        <v>10.65</v>
      </c>
      <c r="D50" s="1" t="n">
        <v>0.38</v>
      </c>
    </row>
    <row r="51">
      <c r="A51" s="1" t="inlineStr">
        <is>
          <t>超大0-50lb</t>
        </is>
      </c>
      <c r="B51" s="284" t="n">
        <v>26.33</v>
      </c>
      <c r="C51" s="285" t="n">
        <v>29.06</v>
      </c>
      <c r="D51" s="1" t="n">
        <v>0.38</v>
      </c>
    </row>
    <row r="52">
      <c r="A52" s="1" t="inlineStr">
        <is>
          <t>超大50-70lb</t>
        </is>
      </c>
      <c r="B52" s="284" t="n">
        <v>40.12</v>
      </c>
      <c r="C52" s="285" t="n">
        <v>42.93</v>
      </c>
      <c r="D52" s="1" t="n">
        <v>0.75</v>
      </c>
      <c r="E52" s="1" t="inlineStr">
        <is>
          <t>超出起始lb</t>
        </is>
      </c>
      <c r="F52" s="1" t="n">
        <v>51</v>
      </c>
    </row>
    <row r="53">
      <c r="A53" s="1" t="inlineStr">
        <is>
          <t>超大70-150lb</t>
        </is>
      </c>
      <c r="B53" s="284" t="n">
        <v>54.81</v>
      </c>
      <c r="C53" s="285" t="n">
        <v>59.23</v>
      </c>
      <c r="D53" s="1" t="n">
        <v>0.75</v>
      </c>
      <c r="F53" s="1" t="n">
        <v>71</v>
      </c>
    </row>
    <row r="54">
      <c r="A54" s="1" t="inlineStr">
        <is>
          <t>超大150lb+</t>
        </is>
      </c>
      <c r="B54" s="284" t="n">
        <v>194.95</v>
      </c>
      <c r="C54" s="285" t="n">
        <v>203.46</v>
      </c>
      <c r="D54" s="1" t="n">
        <v>0.19</v>
      </c>
      <c r="F54" s="1" t="n">
        <v>151</v>
      </c>
    </row>
    <row r="56">
      <c r="A56" s="99" t="inlineStr">
        <is>
          <t>小标准费用档（实重oz上限 → 非旺季 / 旺季）</t>
        </is>
      </c>
    </row>
    <row r="57">
      <c r="A57" s="277" t="inlineStr">
        <is>
          <t>上限oz</t>
        </is>
      </c>
      <c r="B57" s="282" t="inlineStr">
        <is>
          <t>非旺季</t>
        </is>
      </c>
      <c r="C57" s="285" t="inlineStr">
        <is>
          <t>旺季</t>
        </is>
      </c>
    </row>
    <row r="58">
      <c r="A58" s="1" t="n">
        <v>2</v>
      </c>
      <c r="B58" s="284" t="n">
        <v>3.06</v>
      </c>
      <c r="C58" s="285" t="n">
        <v>3.25</v>
      </c>
    </row>
    <row r="59">
      <c r="A59" s="1" t="n">
        <v>4</v>
      </c>
      <c r="B59" s="284" t="n">
        <v>3.15</v>
      </c>
      <c r="C59" s="285" t="n">
        <v>3.34</v>
      </c>
    </row>
    <row r="60">
      <c r="A60" s="1" t="n">
        <v>6</v>
      </c>
      <c r="B60" s="284" t="n">
        <v>3.24</v>
      </c>
      <c r="C60" s="285" t="n">
        <v>3.44</v>
      </c>
    </row>
    <row r="61">
      <c r="A61" s="1" t="n">
        <v>8</v>
      </c>
      <c r="B61" s="284" t="n">
        <v>3.33</v>
      </c>
      <c r="C61" s="285" t="n">
        <v>3.53</v>
      </c>
    </row>
    <row r="62">
      <c r="A62" s="1" t="n">
        <v>10</v>
      </c>
      <c r="B62" s="284" t="n">
        <v>3.43</v>
      </c>
      <c r="C62" s="285" t="n">
        <v>3.64</v>
      </c>
    </row>
    <row r="63">
      <c r="A63" s="1" t="n">
        <v>12</v>
      </c>
      <c r="B63" s="284" t="n">
        <v>3.53</v>
      </c>
      <c r="C63" s="285" t="n">
        <v>3.74</v>
      </c>
    </row>
    <row r="64">
      <c r="A64" s="1" t="n">
        <v>14</v>
      </c>
      <c r="B64" s="284" t="n">
        <v>3.6</v>
      </c>
      <c r="C64" s="285" t="n">
        <v>3.82</v>
      </c>
    </row>
    <row r="65">
      <c r="A65" s="1" t="n">
        <v>16</v>
      </c>
      <c r="B65" s="284" t="n">
        <v>3.65</v>
      </c>
      <c r="C65" s="285" t="n">
        <v>3.87</v>
      </c>
    </row>
    <row r="68">
      <c r="A68" s="105" t="inlineStr">
        <is>
          <t>绿列=非旺季(约1/15–10/14)；橙列=旺季(10/15–1/14)。主表按「参数!B22」发货日自动选用。服装鞋靴另表，本表作家居/地毯估算。</t>
        </is>
      </c>
    </row>
    <row r="70">
      <c r="A70" s="1" t="inlineStr">
        <is>
          <t>当前参数季节(联动)</t>
        </is>
      </c>
      <c r="B70" s="98">
        <f>参数!B23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G50"/>
  <sheetViews>
    <sheetView showGridLines="0" defaultGridColor="1" workbookViewId="0">
      <selection activeCell="A1" sqref="A1"/>
    </sheetView>
  </sheetViews>
  <sheetFormatPr baseColWidth="8" defaultColWidth="8.83333" defaultRowHeight="14.1" customHeight="1" outlineLevelRow="0"/>
  <cols>
    <col width="18.5" customWidth="1" style="1" min="1" max="1"/>
    <col width="12" customWidth="1" style="1" min="2" max="2"/>
    <col width="12" customWidth="1" style="1" min="3" max="3"/>
    <col width="8" customWidth="1" style="1" min="4" max="4"/>
    <col width="10" customWidth="1" style="1" min="5" max="10"/>
    <col width="10" customWidth="1" style="67" min="6" max="6"/>
    <col width="10" customWidth="1" style="67" min="7" max="7"/>
    <col width="10" customWidth="1" style="67" min="8" max="8"/>
    <col width="8" customWidth="1" style="67" min="9" max="9"/>
    <col width="8" customWidth="1" style="67" min="10" max="10"/>
    <col width="8" customWidth="1" style="1" min="11" max="12"/>
    <col width="8" customWidth="1" style="67" min="12" max="12"/>
    <col width="8" customWidth="1" style="1" min="13" max="14"/>
    <col width="10" customWidth="1" style="67" min="14" max="14"/>
    <col width="10" customWidth="1" style="1" min="15" max="15"/>
    <col width="10" customWidth="1" style="1" min="16" max="16"/>
    <col width="10" customWidth="1" style="1" min="17" max="17"/>
    <col width="14" customWidth="1" style="1" min="18" max="18"/>
    <col width="14" customWidth="1" style="1" min="19" max="19"/>
    <col width="14" customWidth="1" style="1" min="20" max="20"/>
    <col width="12" customWidth="1" style="1" min="21" max="21"/>
    <col width="10" customWidth="1" style="1" min="22" max="25"/>
    <col width="12" customWidth="1" style="67" min="23" max="23"/>
    <col width="12" customWidth="1" style="67" min="24" max="24"/>
    <col width="12" customWidth="1" style="67" min="25" max="25"/>
    <col width="10" customWidth="1" style="1" min="26" max="26"/>
    <col width="12" customWidth="1" style="1" min="27" max="27"/>
    <col width="10" customWidth="1" style="1" min="28" max="28"/>
    <col width="10" customWidth="1" style="1" min="29" max="29"/>
    <col width="10" customWidth="1" style="1" min="30" max="30"/>
    <col width="10" customWidth="1" style="1" min="31" max="31"/>
    <col width="10" customWidth="1" style="1" min="32" max="32"/>
    <col width="10" customWidth="1" style="1" min="33" max="33"/>
    <col width="10" customWidth="1" style="1" min="34" max="36"/>
    <col width="10" customWidth="1" style="67" min="35" max="35"/>
    <col width="12" customWidth="1" style="67" min="36" max="36"/>
    <col width="8" customWidth="1" style="1" min="37" max="37"/>
    <col width="12" customWidth="1" style="1" min="38" max="38"/>
    <col width="10" customWidth="1" style="1" min="39" max="39"/>
    <col width="16.3516" customWidth="1" style="1" min="40" max="40"/>
    <col width="13.1719" customWidth="1" style="1" min="41" max="41"/>
    <col width="11.3516" customWidth="1" style="1" min="42" max="42"/>
    <col width="13.1719" customWidth="1" style="1" min="43" max="43"/>
    <col width="8.851559999999999" customWidth="1" style="1" min="44" max="16384"/>
    <col width="12" customWidth="1" style="67" min="57" max="57"/>
    <col width="12" customWidth="1" style="67" min="58" max="58"/>
    <col width="12" customWidth="1" style="67" min="59" max="59"/>
    <col width="12" customWidth="1" style="67" min="60" max="60"/>
    <col width="12" customWidth="1" style="67" min="61" max="61"/>
    <col width="12" customWidth="1" style="67" min="62" max="62"/>
    <col width="12" customWidth="1" style="67" min="63" max="63"/>
    <col width="12" customWidth="1" style="67" min="64" max="64"/>
    <col width="42" customWidth="1" style="67" min="65" max="65"/>
    <col width="10" customWidth="1" style="67" min="66" max="66"/>
    <col hidden="1" width="12" customWidth="1" style="67" min="67" max="67"/>
    <col hidden="1" width="13" customWidth="1" style="67" min="68" max="68"/>
    <col hidden="1" width="13" customWidth="1" style="67" min="69" max="69"/>
    <col hidden="1" width="13" customWidth="1" style="67" min="70" max="70"/>
    <col hidden="1" width="13" customWidth="1" style="67" min="71" max="71"/>
    <col hidden="1" width="13" customWidth="1" style="67" min="72" max="72"/>
    <col hidden="1" width="13" customWidth="1" style="67" min="73" max="73"/>
    <col hidden="1" width="13" customWidth="1" style="67" min="74" max="74"/>
    <col hidden="1" width="13" customWidth="1" style="67" min="75" max="75"/>
    <col hidden="1" width="13" customWidth="1" style="67" min="76" max="76"/>
    <col hidden="1" width="13" customWidth="1" style="67" min="77" max="77"/>
    <col hidden="1" width="13" customWidth="1" style="67" min="78" max="78"/>
    <col hidden="1" width="13" customWidth="1" style="67" min="79" max="79"/>
    <col hidden="1" width="13" customWidth="1" style="67" min="80" max="80"/>
    <col hidden="1" width="13" customWidth="1" style="67" min="81" max="81"/>
    <col hidden="1" width="13" customWidth="1" style="67" min="82" max="82"/>
    <col hidden="1" width="13" customWidth="1" style="67" min="83" max="83"/>
    <col width="10" customWidth="1" style="67" min="84" max="84"/>
    <col width="12" customWidth="1" style="67" min="85" max="85"/>
  </cols>
  <sheetData>
    <row r="1" ht="22" customHeight="1" s="67">
      <c r="A1" s="2" t="n"/>
      <c r="B1" s="185" t="inlineStr">
        <is>
          <t>①产品信息（箱规带出·装数用于把整箱费用摊到一件）</t>
        </is>
      </c>
      <c r="C1" s="68" t="n"/>
      <c r="D1" s="68" t="n"/>
      <c r="E1" s="69" t="n"/>
      <c r="F1" s="186" t="inlineStr">
        <is>
          <t>不用填</t>
        </is>
      </c>
      <c r="G1" s="187" t="inlineStr">
        <is>
          <t>②自动售价（按「一件」核算）</t>
        </is>
      </c>
      <c r="I1" s="188" t="inlineStr">
        <is>
          <t>③固定费率/汇率</t>
        </is>
      </c>
      <c r="J1" s="68" t="n"/>
      <c r="K1" s="68" t="n"/>
      <c r="L1" s="68" t="n"/>
      <c r="M1" s="68" t="n"/>
      <c r="N1" s="277" t="inlineStr">
        <is>
          <t>④单件尺寸/计费重/季节FBA（箱规尺寸→计费重→分段；费用随参数!发货日旺季切换）</t>
        </is>
      </c>
      <c r="U1" s="190" t="inlineStr">
        <is>
          <t>⑤采购（一件·平米×19）</t>
        </is>
      </c>
      <c r="Y1" s="191" t="inlineStr">
        <is>
          <t>⑥保本明细（一件·对应保本售价）</t>
        </is>
      </c>
      <c r="AN1" s="192" t="inlineStr">
        <is>
          <t>⑦利润明细（一件·对应利润售价）</t>
        </is>
      </c>
      <c r="BE1" s="189" t="inlineStr">
        <is>
          <t>⑧头程物流（先算整箱运费，再÷装数摊到一件）</t>
        </is>
      </c>
      <c r="BM1" s="288" t="inlineStr">
        <is>
          <t>说明</t>
        </is>
      </c>
      <c r="BN1" s="1" t="n"/>
      <c r="BO1" s="1" t="n"/>
      <c r="CF1" s="1" t="inlineStr">
        <is>
          <t>FBA季节</t>
        </is>
      </c>
      <c r="CG1" s="1" t="inlineStr">
        <is>
          <t>发货日</t>
        </is>
      </c>
    </row>
    <row r="2" ht="32" customHeight="1" s="67">
      <c r="A2" s="49" t="n"/>
      <c r="B2" s="194" t="inlineStr">
        <is>
          <t>款式</t>
        </is>
      </c>
      <c r="C2" s="195" t="inlineStr">
        <is>
          <t>尺寸</t>
        </is>
      </c>
      <c r="D2" s="195" t="inlineStr">
        <is>
          <t>装数(件/箱)</t>
        </is>
      </c>
      <c r="E2" s="194" t="inlineStr">
        <is>
          <t>图片</t>
        </is>
      </c>
      <c r="F2" s="196" t="inlineStr">
        <is>
          <t>竞品售价</t>
        </is>
      </c>
      <c r="G2" s="197" t="inlineStr">
        <is>
          <t>保本售价</t>
        </is>
      </c>
      <c r="H2" s="197" t="inlineStr">
        <is>
          <t>利润售价</t>
        </is>
      </c>
      <c r="I2" s="198" t="inlineStr">
        <is>
          <t>佣金率</t>
        </is>
      </c>
      <c r="J2" s="198" t="inlineStr">
        <is>
          <t>退款率</t>
        </is>
      </c>
      <c r="K2" s="198" t="inlineStr">
        <is>
          <t>广告率</t>
        </is>
      </c>
      <c r="L2" s="198" t="inlineStr">
        <is>
          <t>提现费率</t>
        </is>
      </c>
      <c r="M2" s="198" t="inlineStr">
        <is>
          <t>汇率</t>
        </is>
      </c>
      <c r="N2" s="194" t="inlineStr">
        <is>
          <t>单件净重(kg)</t>
        </is>
      </c>
      <c r="O2" s="194" t="inlineStr">
        <is>
          <t>单件长(cm)</t>
        </is>
      </c>
      <c r="P2" s="194" t="inlineStr">
        <is>
          <t>单件宽(cm)</t>
        </is>
      </c>
      <c r="Q2" s="194" t="inlineStr">
        <is>
          <t>单件高(cm)</t>
        </is>
      </c>
      <c r="R2" s="278" t="inlineStr">
        <is>
          <t>FBA计费重(lb)</t>
        </is>
      </c>
      <c r="S2" s="278" t="inlineStr">
        <is>
          <t>FBA尺寸分段</t>
        </is>
      </c>
      <c r="T2" s="278" t="inlineStr">
        <is>
          <t>长+围长(in)</t>
        </is>
      </c>
      <c r="U2" s="199" t="inlineStr">
        <is>
          <t>单价(RMB/㎡)</t>
        </is>
      </c>
      <c r="V2" s="199" t="inlineStr">
        <is>
          <t>采购(RMB)</t>
        </is>
      </c>
      <c r="W2" s="199" t="inlineStr">
        <is>
          <t>重量(计价备用)</t>
        </is>
      </c>
      <c r="X2" s="199" t="inlineStr">
        <is>
          <t>采购价(USD)</t>
        </is>
      </c>
      <c r="Y2" s="197" t="inlineStr">
        <is>
          <t>采购/售价比值(保本)</t>
        </is>
      </c>
      <c r="Z2" s="197" t="inlineStr">
        <is>
          <t>中转调拨费</t>
        </is>
      </c>
      <c r="AA2" s="197" t="inlineStr">
        <is>
          <t>头程运费(RMB/件)</t>
        </is>
      </c>
      <c r="AB2" s="197" t="inlineStr">
        <is>
          <t>FBA配送费(USD/件)</t>
        </is>
      </c>
      <c r="AC2" s="197" t="inlineStr">
        <is>
          <t>佣金(USD)</t>
        </is>
      </c>
      <c r="AD2" s="197" t="inlineStr">
        <is>
          <t>退款(USD)</t>
        </is>
      </c>
      <c r="AE2" s="197" t="inlineStr">
        <is>
          <t>广告(USD)</t>
        </is>
      </c>
      <c r="AF2" s="197" t="inlineStr">
        <is>
          <t>提现(USD)</t>
        </is>
      </c>
      <c r="AG2" s="197" t="inlineStr">
        <is>
          <t>仓储费率</t>
        </is>
      </c>
      <c r="AH2" s="197" t="inlineStr">
        <is>
          <t>仓储费(USD)</t>
        </is>
      </c>
      <c r="AI2" s="197" t="inlineStr">
        <is>
          <t>优惠券(USD)</t>
        </is>
      </c>
      <c r="AJ2" s="197" t="inlineStr">
        <is>
          <t>总成本(保本)</t>
        </is>
      </c>
      <c r="AK2" s="197" t="inlineStr">
        <is>
          <t>退税</t>
        </is>
      </c>
      <c r="AL2" s="197" t="inlineStr">
        <is>
          <t>单品利润(保本)</t>
        </is>
      </c>
      <c r="AM2" s="197" t="inlineStr">
        <is>
          <t>利润率(保本)</t>
        </is>
      </c>
      <c r="AN2" s="200" t="inlineStr">
        <is>
          <t>采购/售价比值(销售)</t>
        </is>
      </c>
      <c r="AO2" s="200" t="inlineStr">
        <is>
          <t>中转调拨费</t>
        </is>
      </c>
      <c r="AP2" s="200" t="inlineStr">
        <is>
          <t>头程运费(RMB/件)</t>
        </is>
      </c>
      <c r="AQ2" s="200" t="inlineStr">
        <is>
          <t>FBA配送费(USD/件)</t>
        </is>
      </c>
      <c r="AR2" s="200" t="inlineStr">
        <is>
          <t>佣金(USD)</t>
        </is>
      </c>
      <c r="AS2" s="200" t="inlineStr">
        <is>
          <t>退款(USD)</t>
        </is>
      </c>
      <c r="AT2" s="201" t="inlineStr">
        <is>
          <t>广告(USD)</t>
        </is>
      </c>
      <c r="AU2" s="201" t="inlineStr">
        <is>
          <t>提现(USD)</t>
        </is>
      </c>
      <c r="AV2" s="201" t="inlineStr">
        <is>
          <t>仓储费率</t>
        </is>
      </c>
      <c r="AW2" s="201" t="inlineStr">
        <is>
          <t>仓储费(USD)</t>
        </is>
      </c>
      <c r="AX2" s="201" t="inlineStr">
        <is>
          <t>优惠券(USD)</t>
        </is>
      </c>
      <c r="AY2" s="201" t="inlineStr">
        <is>
          <t>总成本(销售)</t>
        </is>
      </c>
      <c r="AZ2" s="201" t="inlineStr">
        <is>
          <t>退税</t>
        </is>
      </c>
      <c r="BA2" s="201" t="inlineStr">
        <is>
          <t>利润(销售-退税)</t>
        </is>
      </c>
      <c r="BB2" s="201" t="inlineStr">
        <is>
          <t>利润率(销售-退税)</t>
        </is>
      </c>
      <c r="BC2" s="201" t="inlineStr">
        <is>
          <t>利润(销售)</t>
        </is>
      </c>
      <c r="BD2" s="201" t="inlineStr">
        <is>
          <t>利润率(销售)</t>
        </is>
      </c>
      <c r="BE2" s="202" t="inlineStr">
        <is>
          <t>起运地</t>
        </is>
      </c>
      <c r="BF2" s="202" t="inlineStr">
        <is>
          <t>FBA仓</t>
        </is>
      </c>
      <c r="BG2" s="202" t="inlineStr">
        <is>
          <t>运输方式</t>
        </is>
      </c>
      <c r="BH2" s="202" t="inlineStr">
        <is>
          <t>海运渠道(可选)</t>
        </is>
      </c>
      <c r="BI2" s="202" t="inlineStr">
        <is>
          <t>海运单价(RMB/KG)</t>
        </is>
      </c>
      <c r="BJ2" s="202" t="inlineStr">
        <is>
          <t>单箱计费重(kg)</t>
        </is>
      </c>
      <c r="BK2" s="202" t="inlineStr">
        <is>
          <t>单箱海运费(RMB)</t>
        </is>
      </c>
      <c r="BL2" s="202" t="inlineStr">
        <is>
          <t>陆运运费(RMB/箱)</t>
        </is>
      </c>
      <c r="BM2" s="203" t="inlineStr">
        <is>
          <t>计价说明</t>
        </is>
      </c>
      <c r="BN2" s="103" t="n"/>
      <c r="BO2" s="106" t="inlineStr">
        <is>
          <t>可选渠道1</t>
        </is>
      </c>
      <c r="BP2" s="106" t="inlineStr">
        <is>
          <t>可选渠道2</t>
        </is>
      </c>
      <c r="BQ2" s="106" t="inlineStr">
        <is>
          <t>可选渠道3</t>
        </is>
      </c>
      <c r="BR2" s="106" t="inlineStr">
        <is>
          <t>可选渠道4</t>
        </is>
      </c>
      <c r="BS2" s="106" t="inlineStr">
        <is>
          <t>可选渠道5</t>
        </is>
      </c>
      <c r="BT2" s="106" t="inlineStr">
        <is>
          <t>可选渠道6</t>
        </is>
      </c>
      <c r="BU2" s="106" t="inlineStr">
        <is>
          <t>可选渠道7</t>
        </is>
      </c>
      <c r="BV2" s="106" t="inlineStr">
        <is>
          <t>可选渠道8</t>
        </is>
      </c>
      <c r="BW2" s="106" t="inlineStr">
        <is>
          <t>可选渠道9</t>
        </is>
      </c>
      <c r="BX2" s="106" t="inlineStr">
        <is>
          <t>可选渠道10</t>
        </is>
      </c>
      <c r="BY2" s="106" t="inlineStr">
        <is>
          <t>可选渠道11</t>
        </is>
      </c>
      <c r="BZ2" s="106" t="inlineStr">
        <is>
          <t>可选渠道12</t>
        </is>
      </c>
      <c r="CA2" s="106" t="inlineStr">
        <is>
          <t>可选渠道13</t>
        </is>
      </c>
      <c r="CB2" s="106" t="inlineStr">
        <is>
          <t>可选渠道14</t>
        </is>
      </c>
      <c r="CC2" s="106" t="inlineStr">
        <is>
          <t>可选渠道15</t>
        </is>
      </c>
      <c r="CD2" s="1" t="inlineStr">
        <is>
          <t>固定成本USD(内部)</t>
        </is>
      </c>
      <c r="CE2" s="1" t="inlineStr">
        <is>
          <t>变动费率合计(内部)</t>
        </is>
      </c>
      <c r="CF2" s="103">
        <f>参数!B23</f>
        <v/>
      </c>
      <c r="CG2" s="289">
        <f>参数!B22</f>
        <v/>
      </c>
    </row>
    <row r="3" ht="40" customHeight="1" s="67">
      <c r="A3" s="96" t="inlineStr">
        <is>
          <t>已列出箱规全部可算尺寸共22行（起运义乌/仓ABE8/渠道最低价；发货2026-10-27=旺季）。详见工作表「全尺寸利润」汇总。改仓或发货日后主表公式会变，汇总表需重算。</t>
        </is>
      </c>
      <c r="B3" s="49" t="n"/>
      <c r="E3" s="21" t="n"/>
      <c r="F3" s="21" t="n"/>
      <c r="G3" s="21" t="n"/>
      <c r="H3" s="21" t="n"/>
      <c r="I3" s="21" t="n"/>
      <c r="J3" s="21" t="n"/>
      <c r="K3" s="21" t="n"/>
      <c r="L3" s="21" t="n"/>
      <c r="M3" s="49" t="n"/>
      <c r="N3" s="22" t="n"/>
      <c r="O3" s="23" t="n"/>
      <c r="R3" s="174" t="n"/>
      <c r="S3" s="174" t="n"/>
      <c r="T3" s="174" t="n"/>
      <c r="U3" s="49" t="n"/>
      <c r="V3" s="19" t="n"/>
      <c r="W3" s="21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6" t="n"/>
      <c r="AG3" s="49" t="n"/>
      <c r="AH3" s="19" t="n"/>
      <c r="AI3" s="21" t="n"/>
      <c r="AJ3" s="21" t="n"/>
      <c r="AK3" s="21" t="n"/>
      <c r="AL3" s="21" t="n"/>
      <c r="AM3" s="21" t="n"/>
      <c r="AN3" s="27" t="n"/>
      <c r="AO3" s="27" t="n"/>
      <c r="AP3" s="27" t="n"/>
      <c r="AQ3" s="27" t="n"/>
      <c r="AR3" s="27" t="n"/>
      <c r="AS3" s="27" t="n"/>
    </row>
    <row r="4" ht="75" customHeight="1" s="67">
      <c r="A4" s="19" t="inlineStr">
        <is>
          <t>数据行</t>
        </is>
      </c>
      <c r="B4" s="204" t="n"/>
      <c r="C4" s="205" t="inlineStr">
        <is>
          <t>2'3'</t>
        </is>
      </c>
      <c r="D4" s="206">
        <f>IF(C4="","",VLOOKUP($C4,箱规!$A$2:$S$23,9,FALSE))</f>
        <v/>
      </c>
      <c r="E4" s="207" t="n"/>
      <c r="F4" s="177" t="n"/>
      <c r="G4" s="155">
        <f>IF(OR(CD4="",CE4="",CE4&gt;=1,X4=""),"",ROUNDUP((CD4-0.13*X4/1.13)/(1-CE4),2))</f>
        <v/>
      </c>
      <c r="H4" s="156">
        <f>IF(OR(CD4="",CE4="",X4=""),"",IF((1-CE4-参数!$B$16)&lt;=0,"费率过高",ROUND((CD4-0.13*X4/1.13)/(1-CE4-参数!$B$16),2)))</f>
        <v/>
      </c>
      <c r="I4" s="208" t="n">
        <v>0.15</v>
      </c>
      <c r="J4" s="208" t="n">
        <v>0.07000000000000001</v>
      </c>
      <c r="K4" s="208" t="n">
        <v>0.15</v>
      </c>
      <c r="L4" s="208" t="n">
        <v>0.01</v>
      </c>
      <c r="M4" s="209">
        <f>参数!$B$2</f>
        <v/>
      </c>
      <c r="N4" s="210">
        <f>IF(C4="","",VLOOKUP($C4,箱规!$A$2:$S$23,14,FALSE))</f>
        <v/>
      </c>
      <c r="O4" s="210">
        <f>IF(C4="","",VLOOKUP($C4,箱规!$A$2:$S$23,5,FALSE))</f>
        <v/>
      </c>
      <c r="P4" s="210">
        <f>IF(C4="","",VLOOKUP($C4,箱规!$A$2:$S$23,6,FALSE))</f>
        <v/>
      </c>
      <c r="Q4" s="210">
        <f>IF(C4="","",VLOOKUP($C4,箱规!$A$2:$S$23,7,FALSE))</f>
        <v/>
      </c>
      <c r="R4" s="279">
        <f>IF(OR(N4="",O4="",P4="",Q4=""),"",MAX(N4*FBA规则!$B$6,(O4/FBA规则!$B$5)*(P4/FBA规则!$B$5)*(Q4/FBA规则!$B$5)/FBA规则!$B$7))</f>
        <v/>
      </c>
      <c r="S4" s="280">
        <f>IF(R4="","",IF(AND(N4*FBA规则!$B$6&lt;=1,MAX(O4,P4,Q4)/FBA规则!$B$5&lt;=15,MEDIAN(O4,P4,Q4)/FBA规则!$B$5&lt;=12,MIN(O4,P4,Q4)/FBA规则!$B$5&lt;=0.75),"小标准",IF(AND(R4&lt;=20,MAX(O4,P4,Q4)/FBA规则!$B$5&lt;=18,MEDIAN(O4,P4,Q4)/FBA规则!$B$5&lt;=14,MIN(O4,P4,Q4)/FBA规则!$B$5&lt;=8),"大标准",IF(AND(R4&lt;=50,MAX(O4,P4,Q4)/FBA规则!$B$5&lt;=59,MEDIAN(O4,P4,Q4)/FBA规则!$B$5&lt;=33,MIN(O4,P4,Q4)/FBA规则!$B$5&lt;=33,T4&lt;=130),"大件",IF(R4&lt;=50,"超大0-50lb",IF(R4&lt;=70,"超大50-70lb",IF(R4&lt;=150,"超大70-150lb","超大150lb+")))))))</f>
        <v/>
      </c>
      <c r="T4" s="279">
        <f>IF(OR(O4="",P4="",Q4=""),"",MAX(O4,P4,Q4)/FBA规则!$B$5+2*((MEDIAN(O4,P4,Q4)+MIN(O4,P4,Q4))/FBA规则!$B$5))</f>
        <v/>
      </c>
      <c r="U4" s="212">
        <f>参数!$B$15</f>
        <v/>
      </c>
      <c r="V4" s="213">
        <f>IF(OR(C4="",U4=""),"",(IF(OR(VLOOKUP($C4,箱规!$A$2:$S$23,4,FALSE)="",VLOOKUP($C4,箱规!$A$2:$S$23,4,FALSE)=0),VLOOKUP($C4,箱规!$A$2:$S$23,2,FALSE)*VLOOKUP($C4,箱规!$A$2:$S$23,3,FALSE)/10000,VLOOKUP($C4,箱规!$A$2:$S$23,4,FALSE)))*U4)</f>
        <v/>
      </c>
      <c r="W4" s="214" t="n"/>
      <c r="X4" s="215">
        <f>IF(AND(V4&lt;&gt;"",M4&lt;&gt;""),V4/M4,IF(AND(W4&lt;&gt;"",M4&lt;&gt;""),W4*1.13/M4,""))</f>
        <v/>
      </c>
      <c r="Y4" s="216">
        <f>IF(OR(X4="",G4=""),"",X4/G4)</f>
        <v/>
      </c>
      <c r="Z4" s="217" t="n"/>
      <c r="AA4" s="218">
        <f>IF(OR(D4="",D4=0),"",IF(BG4="陆运",IF(BL4="",0,BL4)/D4,IF(BG4="海运",IF(BK4="",0,BK4)/D4,IF(BG4="海运+陆运",(IF(BK4="",0,BK4)+IF(BL4="",0,BL4))/D4,IF(BK4="",0,BK4)/D4))))</f>
        <v/>
      </c>
      <c r="AB4" s="219">
        <f>IF(OR(S4="",R4="",参数!$B$23=""),"",IF(S4="小标准",IFERROR(INDEX(FBA规则!$B$58:$C$65,MATCH(N4*FBA规则!$B$6*16,FBA规则!$A$58:$A$65,1),IF(参数!$B$23="旺季",2,1)),INDEX(FBA规则!$B$65:$C$65,1,IF(参数!$B$23="旺季",2,1))),IF(S4="大标准",IF(R4&lt;=3,IFERROR(INDEX(FBA规则!$B$35:$C$46,MATCH(R4,FBA规则!$A$35:$A$46,1),IF(参数!$B$23="旺季",2,1)),INDEX(FBA规则!$B$46:$C$46,1,IF(参数!$B$23="旺季",2,1))),INDEX(FBA规则!$B$47:$C$47,1,IF(参数!$B$23="旺季",2,1))+FBA规则!$D$47*CEILING((R4-3)*4,1)),IF(S4="大件",INDEX(FBA规则!$B$50:$C$50,1,IF(参数!$B$23="旺季",2,1))+FBA规则!$D$50*MAX(0,CEILING(R4,1)-1),IF(S4="超大0-50lb",INDEX(FBA规则!$B$51:$C$51,1,IF(参数!$B$23="旺季",2,1))+FBA规则!$D$51*MAX(0,CEILING(R4,1)-1),IF(S4="超大50-70lb",INDEX(FBA规则!$B$52:$C$52,1,IF(参数!$B$23="旺季",2,1))+FBA规则!$D$52*MAX(0,R4-FBA规则!$F$52),IF(S4="超大70-150lb",INDEX(FBA规则!$B$53:$C$53,1,IF(参数!$B$23="旺季",2,1))+FBA规则!$D$53*MAX(0,R4-FBA规则!$F$53),INDEX(FBA规则!$B$54:$C$54,1,IF(参数!$B$23="旺季",2,1))+FBA规则!$D$54*MAX(0,R4-FBA规则!$F$54))))))))</f>
        <v/>
      </c>
      <c r="AC4" s="219">
        <f>IF(OR(G4="",I4=""),"",G4*I4)</f>
        <v/>
      </c>
      <c r="AD4" s="219">
        <f>IF(OR(G4="",J4=""),"",G4*J4)</f>
        <v/>
      </c>
      <c r="AE4" s="219">
        <f>IF(OR(G4="",K4=""),"",G4*K4)</f>
        <v/>
      </c>
      <c r="AF4" s="217">
        <f>IF(OR(G4="",L4=""),"",G4*L4)</f>
        <v/>
      </c>
      <c r="AG4" s="216" t="n">
        <v>0.02</v>
      </c>
      <c r="AH4" s="217">
        <f>IF(OR(G4="",AG4=""),"",G4*AG4)</f>
        <v/>
      </c>
      <c r="AI4" s="217" t="n"/>
      <c r="AJ4" s="217">
        <f>IF(X4="","",X4+IF(OR(AA4="",M4=""),0,AA4/M4)+SUM(AB4:AF4)+IF(AH4="",0,AH4)+IF(AI4="",0,AI4))</f>
        <v/>
      </c>
      <c r="AK4" s="217">
        <f>IF(X4="","",0.13*X4/1.13)</f>
        <v/>
      </c>
      <c r="AL4" s="217">
        <f>IF(OR(G4="",AJ4=""),"",G4+AK4-AJ4)</f>
        <v/>
      </c>
      <c r="AM4" s="216">
        <f>IF(OR(AL4="",G4=""),"",AL4/G4)</f>
        <v/>
      </c>
      <c r="AN4" s="220">
        <f>IF(OR(X4="",H4=""),"",X4/H4)</f>
        <v/>
      </c>
      <c r="AO4" s="221" t="n"/>
      <c r="AP4" s="222">
        <f>AA4</f>
        <v/>
      </c>
      <c r="AQ4" s="221">
        <f>IF(OR(S4="",R4="",参数!$B$23=""),"",IF(S4="小标准",IFERROR(INDEX(FBA规则!$B$58:$C$65,MATCH(N4*FBA规则!$B$6*16,FBA规则!$A$58:$A$65,1),IF(参数!$B$23="旺季",2,1)),INDEX(FBA规则!$B$65:$C$65,1,IF(参数!$B$23="旺季",2,1))),IF(S4="大标准",IF(R4&lt;=3,IFERROR(INDEX(FBA规则!$B$35:$C$46,MATCH(R4,FBA规则!$A$35:$A$46,1),IF(参数!$B$23="旺季",2,1)),INDEX(FBA规则!$B$46:$C$46,1,IF(参数!$B$23="旺季",2,1))),INDEX(FBA规则!$B$47:$C$47,1,IF(参数!$B$23="旺季",2,1))+FBA规则!$D$47*CEILING((R4-3)*4,1)),IF(S4="大件",INDEX(FBA规则!$B$50:$C$50,1,IF(参数!$B$23="旺季",2,1))+FBA规则!$D$50*MAX(0,CEILING(R4,1)-1),IF(S4="超大0-50lb",INDEX(FBA规则!$B$51:$C$51,1,IF(参数!$B$23="旺季",2,1))+FBA规则!$D$51*MAX(0,CEILING(R4,1)-1),IF(S4="超大50-70lb",INDEX(FBA规则!$B$52:$C$52,1,IF(参数!$B$23="旺季",2,1))+FBA规则!$D$52*MAX(0,R4-FBA规则!$F$52),IF(S4="超大70-150lb",INDEX(FBA规则!$B$53:$C$53,1,IF(参数!$B$23="旺季",2,1))+FBA规则!$D$53*MAX(0,R4-FBA规则!$F$53),INDEX(FBA规则!$B$54:$C$54,1,IF(参数!$B$23="旺季",2,1))+FBA规则!$D$54*MAX(0,R4-FBA规则!$F$54))))))))</f>
        <v/>
      </c>
      <c r="AR4" s="221">
        <f>IF(OR(H4="",I4=""),"",H4*I4)</f>
        <v/>
      </c>
      <c r="AS4" s="221">
        <f>IF(OR(H4="",J4=""),"",H4*J4)</f>
        <v/>
      </c>
      <c r="AT4" s="223">
        <f>IF(OR(H4="",K4=""),"",H4*K4)</f>
        <v/>
      </c>
      <c r="AU4" s="223">
        <f>IF(OR(H4="",L4=""),"",H4*L4)</f>
        <v/>
      </c>
      <c r="AV4" s="224" t="n">
        <v>0.02</v>
      </c>
      <c r="AW4" s="223">
        <f>IF(OR(H4="",AV4=""),"",H4*AV4)</f>
        <v/>
      </c>
      <c r="AX4" s="225" t="n"/>
      <c r="AY4" s="223">
        <f>IF(X4="","",X4+IF(OR(AP4="",M4=""),0,AP4/M4)+SUM(AQ4:AU4)+IF(AW4="",0,AW4)+IF(AX4="",0,AX4))</f>
        <v/>
      </c>
      <c r="AZ4" s="223">
        <f>IF(X4="","",0.13*X4/1.13)</f>
        <v/>
      </c>
      <c r="BA4" s="223">
        <f>IF(OR(H4="",AY4=""),"",H4+AZ4-AY4)</f>
        <v/>
      </c>
      <c r="BB4" s="224">
        <f>IF(OR(BA4="",H4=""),"",BA4/H4)</f>
        <v/>
      </c>
      <c r="BC4" s="223">
        <f>IF(OR(H4="",AY4=""),"",H4-AY4)</f>
        <v/>
      </c>
      <c r="BD4" s="224">
        <f>IF(OR(BC4="",H4=""),"",BC4/H4)</f>
        <v/>
      </c>
      <c r="BE4" s="205" t="inlineStr">
        <is>
          <t>义乌</t>
        </is>
      </c>
      <c r="BF4" s="205" t="inlineStr">
        <is>
          <t>ABE8</t>
        </is>
      </c>
      <c r="BG4" s="205" t="inlineStr">
        <is>
          <t>海运</t>
        </is>
      </c>
      <c r="BH4" s="226" t="inlineStr">
        <is>
          <t>（最低价）</t>
        </is>
      </c>
      <c r="BI4" s="227">
        <f>IF(OR(BE4="",BF4=""),"",IF(AND(BH4&lt;&gt;"",BH4&lt;&gt;"（最低价）"),IFERROR(IF(SUMIFS(海运报价!$F$2:$F$2000,海运报价!$C$2:$C$2000,BH4,海运报价!$D$2:$D$2000,BE4,海运报价!$E$2:$E$2000,BF4)=0,"",SUMIFS(海运报价!$F$2:$F$2000,海运报价!$C$2:$C$2000,BH4,海运报价!$D$2:$D$2000,BE4,海运报价!$E$2:$E$2000,BF4)),""),IFERROR(IF(SUMIFS(海运下拉!$H$2:$H$311,海运下拉!$F$2:$F$311,BE4,海运下拉!$G$2:$G$311,BF4)=0,"",SUMIFS(海运下拉!$H$2:$H$311,海运下拉!$F$2:$F$311,BE4,海运下拉!$G$2:$G$311,BF4)),"")))</f>
        <v/>
      </c>
      <c r="BJ4" s="227">
        <f>IF(C4="","",VLOOKUP($C4,箱规!$A$2:$S$23,18,FALSE))</f>
        <v/>
      </c>
      <c r="BK4" s="228">
        <f>IF(OR(BI4="",BJ4=""),"",BJ4*(BI4+IF(AND(BH4&lt;&gt;"",BH4&lt;&gt;"（最低价）"),IFERROR(AVERAGEIFS(海运报价!$H$2:$H$2000,海运报价!$C$2:$C$2000,BH4,海运报价!$D$2:$D$2000,BE4,海运报价!$E$2:$E$2000,BF4),0),IFERROR(SUMIFS(海运下拉!$J$2:$J$311,海运下拉!$F$2:$F$311,BE4,海运下拉!$G$2:$G$311,BF4),0))))</f>
        <v/>
      </c>
      <c r="BL4" s="228" t="inlineStr"/>
      <c r="BM4" s="229">
        <f>IF(OR(BE4="",BF4=""),"请选起运地+FBA仓",IF(AND(AND(BH4&lt;&gt;"",BH4&lt;&gt;"（最低价）"),BI4=""),"⚠该渠道不服务此仓：请重选渠道，或选「（最低价）」",IF(BI4="","无报价：请换起运地/仓库",IF(AND(BH4&lt;&gt;"",BH4&lt;&gt;"（最低价）"),"按你选的渠道「"&amp;BH4&amp;"」计价","按最低价「"&amp;IFERROR(SUMIFS(海运下拉!$I$2:$I$311,海运下拉!$F$2:$F$311,BE4,海运下拉!$G$2:$G$311,BF4),"")&amp;"」（渠道默认最低价）"))))</f>
        <v/>
      </c>
      <c r="BO4" s="1">
        <f>IF(OR($BE4="",$BF4=""),"",IFERROR(INDEX(海运报价!$C$2:$C$2000,AGGREGATE(15,6,(ROW(海运报价!$C$2:$C$2000)-ROW(海运报价!$C$2)+1)/((海运报价!$D$2:$D$2000=$BE4)*(海运报价!$E$2:$E$2000=$BF4)),1)),""))</f>
        <v/>
      </c>
      <c r="BP4" s="1">
        <f>IF(OR($BE4="",$BF4=""),"",IFERROR(INDEX(海运报价!$C$2:$C$2000,AGGREGATE(15,6,(ROW(海运报价!$C$2:$C$2000)-ROW(海运报价!$C$2)+1)/((海运报价!$D$2:$D$2000=$BE4)*(海运报价!$E$2:$E$2000=$BF4)),2)),""))</f>
        <v/>
      </c>
      <c r="BQ4" s="1">
        <f>IF(OR($BE4="",$BF4=""),"",IFERROR(INDEX(海运报价!$C$2:$C$2000,AGGREGATE(15,6,(ROW(海运报价!$C$2:$C$2000)-ROW(海运报价!$C$2)+1)/((海运报价!$D$2:$D$2000=$BE4)*(海运报价!$E$2:$E$2000=$BF4)),3)),""))</f>
        <v/>
      </c>
      <c r="BR4" s="1">
        <f>IF(OR($BE4="",$BF4=""),"",IFERROR(INDEX(海运报价!$C$2:$C$2000,AGGREGATE(15,6,(ROW(海运报价!$C$2:$C$2000)-ROW(海运报价!$C$2)+1)/((海运报价!$D$2:$D$2000=$BE4)*(海运报价!$E$2:$E$2000=$BF4)),4)),""))</f>
        <v/>
      </c>
      <c r="BS4" s="1">
        <f>IF(OR($BE4="",$BF4=""),"",IFERROR(INDEX(海运报价!$C$2:$C$2000,AGGREGATE(15,6,(ROW(海运报价!$C$2:$C$2000)-ROW(海运报价!$C$2)+1)/((海运报价!$D$2:$D$2000=$BE4)*(海运报价!$E$2:$E$2000=$BF4)),5)),""))</f>
        <v/>
      </c>
      <c r="BT4" s="1">
        <f>IF(OR($BE4="",$BF4=""),"",IFERROR(INDEX(海运报价!$C$2:$C$2000,AGGREGATE(15,6,(ROW(海运报价!$C$2:$C$2000)-ROW(海运报价!$C$2)+1)/((海运报价!$D$2:$D$2000=$BE4)*(海运报价!$E$2:$E$2000=$BF4)),6)),""))</f>
        <v/>
      </c>
      <c r="BU4" s="1">
        <f>IF(OR($BE4="",$BF4=""),"",IFERROR(INDEX(海运报价!$C$2:$C$2000,AGGREGATE(15,6,(ROW(海运报价!$C$2:$C$2000)-ROW(海运报价!$C$2)+1)/((海运报价!$D$2:$D$2000=$BE4)*(海运报价!$E$2:$E$2000=$BF4)),7)),""))</f>
        <v/>
      </c>
      <c r="BV4" s="1">
        <f>IF(OR($BE4="",$BF4=""),"",IFERROR(INDEX(海运报价!$C$2:$C$2000,AGGREGATE(15,6,(ROW(海运报价!$C$2:$C$2000)-ROW(海运报价!$C$2)+1)/((海运报价!$D$2:$D$2000=$BE4)*(海运报价!$E$2:$E$2000=$BF4)),8)),""))</f>
        <v/>
      </c>
      <c r="BW4" s="1">
        <f>IF(OR($BE4="",$BF4=""),"",IFERROR(INDEX(海运报价!$C$2:$C$2000,AGGREGATE(15,6,(ROW(海运报价!$C$2:$C$2000)-ROW(海运报价!$C$2)+1)/((海运报价!$D$2:$D$2000=$BE4)*(海运报价!$E$2:$E$2000=$BF4)),9)),""))</f>
        <v/>
      </c>
      <c r="BX4" s="1">
        <f>IF(OR($BE4="",$BF4=""),"",IFERROR(INDEX(海运报价!$C$2:$C$2000,AGGREGATE(15,6,(ROW(海运报价!$C$2:$C$2000)-ROW(海运报价!$C$2)+1)/((海运报价!$D$2:$D$2000=$BE4)*(海运报价!$E$2:$E$2000=$BF4)),10)),""))</f>
        <v/>
      </c>
      <c r="BY4" s="1">
        <f>IF(OR($BE4="",$BF4=""),"",IFERROR(INDEX(海运报价!$C$2:$C$2000,AGGREGATE(15,6,(ROW(海运报价!$C$2:$C$2000)-ROW(海运报价!$C$2)+1)/((海运报价!$D$2:$D$2000=$BE4)*(海运报价!$E$2:$E$2000=$BF4)),11)),""))</f>
        <v/>
      </c>
      <c r="BZ4" s="1">
        <f>IF(OR($BE4="",$BF4=""),"",IFERROR(INDEX(海运报价!$C$2:$C$2000,AGGREGATE(15,6,(ROW(海运报价!$C$2:$C$2000)-ROW(海运报价!$C$2)+1)/((海运报价!$D$2:$D$2000=$BE4)*(海运报价!$E$2:$E$2000=$BF4)),12)),""))</f>
        <v/>
      </c>
      <c r="CA4" s="1">
        <f>IF(OR($BE4="",$BF4=""),"",IFERROR(INDEX(海运报价!$C$2:$C$2000,AGGREGATE(15,6,(ROW(海运报价!$C$2:$C$2000)-ROW(海运报价!$C$2)+1)/((海运报价!$D$2:$D$2000=$BE4)*(海运报价!$E$2:$E$2000=$BF4)),13)),""))</f>
        <v/>
      </c>
      <c r="CB4" s="1">
        <f>IF(OR($BE4="",$BF4=""),"",IFERROR(INDEX(海运报价!$C$2:$C$2000,AGGREGATE(15,6,(ROW(海运报价!$C$2:$C$2000)-ROW(海运报价!$C$2)+1)/((海运报价!$D$2:$D$2000=$BE4)*(海运报价!$E$2:$E$2000=$BF4)),14)),""))</f>
        <v/>
      </c>
      <c r="CC4" s="1">
        <f>IF(OR($BE4="",$BF4=""),"",IFERROR(INDEX(海运报价!$C$2:$C$2000,AGGREGATE(15,6,(ROW(海运报价!$C$2:$C$2000)-ROW(海运报价!$C$2)+1)/((海运报价!$D$2:$D$2000=$BE4)*(海运报价!$E$2:$E$2000=$BF4)),15)),""))</f>
        <v/>
      </c>
      <c r="CD4" s="119">
        <f>IF(OR(X4="",M4=""),"",X4+IF(OR(AA4="",M4=""),0,AA4/M4)+IF(AB4="",0,AB4)+IF(AI4="",0,AI4)+IF(Z4="",0,Z4))</f>
        <v/>
      </c>
      <c r="CE4" s="142">
        <f>I4+J4+K4+L4+AG4</f>
        <v/>
      </c>
    </row>
    <row r="5" ht="13.9" customHeight="1" s="67">
      <c r="A5" s="62" t="n"/>
      <c r="B5" s="230" t="n"/>
      <c r="C5" s="231" t="inlineStr">
        <is>
          <t>2'5'</t>
        </is>
      </c>
      <c r="D5" s="206">
        <f>IF(C5="","",VLOOKUP($C5,箱规!$A$2:$S$23,9,FALSE))</f>
        <v/>
      </c>
      <c r="E5" s="232" t="n"/>
      <c r="F5" s="178" t="n"/>
      <c r="G5" s="160">
        <f>IF(OR(CD5="",CE5="",CE5&gt;=1,X5=""),"",ROUNDUP((CD5-0.13*X5/1.13)/(1-CE5),2))</f>
        <v/>
      </c>
      <c r="H5" s="161">
        <f>IF(OR(CD5="",CE5="",X5=""),"",IF((1-CE5-参数!$B$16)&lt;=0,"费率过高",ROUND((CD5-0.13*X5/1.13)/(1-CE5-参数!$B$16),2)))</f>
        <v/>
      </c>
      <c r="I5" s="233" t="n">
        <v>0.15</v>
      </c>
      <c r="J5" s="233" t="n">
        <v>0.07000000000000001</v>
      </c>
      <c r="K5" s="233" t="n">
        <v>0.15</v>
      </c>
      <c r="L5" s="233" t="n">
        <v>0.01</v>
      </c>
      <c r="M5" s="234">
        <f>参数!$B$2</f>
        <v/>
      </c>
      <c r="N5" s="235">
        <f>IF(C5="","",VLOOKUP($C5,箱规!$A$2:$S$23,14,FALSE))</f>
        <v/>
      </c>
      <c r="O5" s="235">
        <f>IF(C5="","",VLOOKUP($C5,箱规!$A$2:$S$23,5,FALSE))</f>
        <v/>
      </c>
      <c r="P5" s="235">
        <f>IF(C5="","",VLOOKUP($C5,箱规!$A$2:$S$23,6,FALSE))</f>
        <v/>
      </c>
      <c r="Q5" s="235">
        <f>IF(C5="","",VLOOKUP($C5,箱规!$A$2:$S$23,7,FALSE))</f>
        <v/>
      </c>
      <c r="R5" s="279">
        <f>IF(OR(N5="",O5="",P5="",Q5=""),"",MAX(N5*FBA规则!$B$6,(O5/FBA规则!$B$5)*(P5/FBA规则!$B$5)*(Q5/FBA规则!$B$5)/FBA规则!$B$7))</f>
        <v/>
      </c>
      <c r="S5" s="280">
        <f>IF(R5="","",IF(AND(N5*FBA规则!$B$6&lt;=1,MAX(O5,P5,Q5)/FBA规则!$B$5&lt;=15,MEDIAN(O5,P5,Q5)/FBA规则!$B$5&lt;=12,MIN(O5,P5,Q5)/FBA规则!$B$5&lt;=0.75),"小标准",IF(AND(R5&lt;=20,MAX(O5,P5,Q5)/FBA规则!$B$5&lt;=18,MEDIAN(O5,P5,Q5)/FBA规则!$B$5&lt;=14,MIN(O5,P5,Q5)/FBA规则!$B$5&lt;=8),"大标准",IF(AND(R5&lt;=50,MAX(O5,P5,Q5)/FBA规则!$B$5&lt;=59,MEDIAN(O5,P5,Q5)/FBA规则!$B$5&lt;=33,MIN(O5,P5,Q5)/FBA规则!$B$5&lt;=33,T5&lt;=130),"大件",IF(R5&lt;=50,"超大0-50lb",IF(R5&lt;=70,"超大50-70lb",IF(R5&lt;=150,"超大70-150lb","超大150lb+")))))))</f>
        <v/>
      </c>
      <c r="T5" s="279">
        <f>IF(OR(O5="",P5="",Q5=""),"",MAX(O5,P5,Q5)/FBA规则!$B$5+2*((MEDIAN(O5,P5,Q5)+MIN(O5,P5,Q5))/FBA规则!$B$5))</f>
        <v/>
      </c>
      <c r="U5" s="237">
        <f>参数!$B$15</f>
        <v/>
      </c>
      <c r="V5" s="238">
        <f>IF(OR(C5="",U5=""),"",(IF(OR(VLOOKUP($C5,箱规!$A$2:$S$23,4,FALSE)="",VLOOKUP($C5,箱规!$A$2:$S$23,4,FALSE)=0),VLOOKUP($C5,箱规!$A$2:$S$23,2,FALSE)*VLOOKUP($C5,箱规!$A$2:$S$23,3,FALSE)/10000,VLOOKUP($C5,箱规!$A$2:$S$23,4,FALSE)))*U5)</f>
        <v/>
      </c>
      <c r="W5" s="239" t="n"/>
      <c r="X5" s="240">
        <f>IF(AND(V5&lt;&gt;"",M5&lt;&gt;""),V5/M5,IF(AND(W5&lt;&gt;"",M5&lt;&gt;""),W5*1.13/M5,""))</f>
        <v/>
      </c>
      <c r="Y5" s="241">
        <f>IF(OR(X5="",G5=""),"",X5/G5)</f>
        <v/>
      </c>
      <c r="Z5" s="242" t="n"/>
      <c r="AA5" s="243">
        <f>IF(OR(D5="",D5=0),"",IF(BG5="陆运",IF(BL5="",0,BL5)/D5,IF(BG5="海运",IF(BK5="",0,BK5)/D5,IF(BG5="海运+陆运",(IF(BK5="",0,BK5)+IF(BL5="",0,BL5))/D5,IF(BK5="",0,BK5)/D5))))</f>
        <v/>
      </c>
      <c r="AB5" s="242">
        <f>IF(OR(S5="",R5="",参数!$B$23=""),"",IF(S5="小标准",IFERROR(INDEX(FBA规则!$B$58:$C$65,MATCH(N5*FBA规则!$B$6*16,FBA规则!$A$58:$A$65,1),IF(参数!$B$23="旺季",2,1)),INDEX(FBA规则!$B$65:$C$65,1,IF(参数!$B$23="旺季",2,1))),IF(S5="大标准",IF(R5&lt;=3,IFERROR(INDEX(FBA规则!$B$35:$C$46,MATCH(R5,FBA规则!$A$35:$A$46,1),IF(参数!$B$23="旺季",2,1)),INDEX(FBA规则!$B$46:$C$46,1,IF(参数!$B$23="旺季",2,1))),INDEX(FBA规则!$B$47:$C$47,1,IF(参数!$B$23="旺季",2,1))+FBA规则!$D$47*CEILING((R5-3)*4,1)),IF(S5="大件",INDEX(FBA规则!$B$50:$C$50,1,IF(参数!$B$23="旺季",2,1))+FBA规则!$D$50*MAX(0,CEILING(R5,1)-1),IF(S5="超大0-50lb",INDEX(FBA规则!$B$51:$C$51,1,IF(参数!$B$23="旺季",2,1))+FBA规则!$D$51*MAX(0,CEILING(R5,1)-1),IF(S5="超大50-70lb",INDEX(FBA规则!$B$52:$C$52,1,IF(参数!$B$23="旺季",2,1))+FBA规则!$D$52*MAX(0,R5-FBA规则!$F$52),IF(S5="超大70-150lb",INDEX(FBA规则!$B$53:$C$53,1,IF(参数!$B$23="旺季",2,1))+FBA规则!$D$53*MAX(0,R5-FBA规则!$F$53),INDEX(FBA规则!$B$54:$C$54,1,IF(参数!$B$23="旺季",2,1))+FBA规则!$D$54*MAX(0,R5-FBA规则!$F$54))))))))</f>
        <v/>
      </c>
      <c r="AC5" s="242">
        <f>IF(OR(G5="",I5=""),"",G5*I5)</f>
        <v/>
      </c>
      <c r="AD5" s="242">
        <f>IF(OR(G5="",J5=""),"",G5*J5)</f>
        <v/>
      </c>
      <c r="AE5" s="242">
        <f>IF(OR(G5="",K5=""),"",G5*K5)</f>
        <v/>
      </c>
      <c r="AF5" s="242">
        <f>IF(OR(G5="",L5=""),"",G5*L5)</f>
        <v/>
      </c>
      <c r="AG5" s="241" t="n">
        <v>0.02</v>
      </c>
      <c r="AH5" s="242">
        <f>IF(OR(G5="",AG5=""),"",G5*AG5)</f>
        <v/>
      </c>
      <c r="AI5" s="242" t="n"/>
      <c r="AJ5" s="242">
        <f>IF(X5="","",X5+IF(OR(AA5="",M5=""),0,AA5/M5)+SUM(AB5:AF5)+IF(AH5="",0,AH5)+IF(AI5="",0,AI5))</f>
        <v/>
      </c>
      <c r="AK5" s="242">
        <f>IF(X5="","",0.13*X5/1.13)</f>
        <v/>
      </c>
      <c r="AL5" s="242">
        <f>IF(OR(G5="",AJ5=""),"",G5+AK5-AJ5)</f>
        <v/>
      </c>
      <c r="AM5" s="241">
        <f>IF(OR(AL5="",G5=""),"",AL5/G5)</f>
        <v/>
      </c>
      <c r="AN5" s="244">
        <f>IF(OR(X5="",H5=""),"",X5/H5)</f>
        <v/>
      </c>
      <c r="AO5" s="245" t="n"/>
      <c r="AP5" s="246">
        <f>AA5</f>
        <v/>
      </c>
      <c r="AQ5" s="245">
        <f>IF(OR(S5="",R5="",参数!$B$23=""),"",IF(S5="小标准",IFERROR(INDEX(FBA规则!$B$58:$C$65,MATCH(N5*FBA规则!$B$6*16,FBA规则!$A$58:$A$65,1),IF(参数!$B$23="旺季",2,1)),INDEX(FBA规则!$B$65:$C$65,1,IF(参数!$B$23="旺季",2,1))),IF(S5="大标准",IF(R5&lt;=3,IFERROR(INDEX(FBA规则!$B$35:$C$46,MATCH(R5,FBA规则!$A$35:$A$46,1),IF(参数!$B$23="旺季",2,1)),INDEX(FBA规则!$B$46:$C$46,1,IF(参数!$B$23="旺季",2,1))),INDEX(FBA规则!$B$47:$C$47,1,IF(参数!$B$23="旺季",2,1))+FBA规则!$D$47*CEILING((R5-3)*4,1)),IF(S5="大件",INDEX(FBA规则!$B$50:$C$50,1,IF(参数!$B$23="旺季",2,1))+FBA规则!$D$50*MAX(0,CEILING(R5,1)-1),IF(S5="超大0-50lb",INDEX(FBA规则!$B$51:$C$51,1,IF(参数!$B$23="旺季",2,1))+FBA规则!$D$51*MAX(0,CEILING(R5,1)-1),IF(S5="超大50-70lb",INDEX(FBA规则!$B$52:$C$52,1,IF(参数!$B$23="旺季",2,1))+FBA规则!$D$52*MAX(0,R5-FBA规则!$F$52),IF(S5="超大70-150lb",INDEX(FBA规则!$B$53:$C$53,1,IF(参数!$B$23="旺季",2,1))+FBA规则!$D$53*MAX(0,R5-FBA规则!$F$53),INDEX(FBA规则!$B$54:$C$54,1,IF(参数!$B$23="旺季",2,1))+FBA规则!$D$54*MAX(0,R5-FBA规则!$F$54))))))))</f>
        <v/>
      </c>
      <c r="AR5" s="245">
        <f>IF(OR(H5="",I5=""),"",H5*I5)</f>
        <v/>
      </c>
      <c r="AS5" s="245">
        <f>IF(OR(H5="",J5=""),"",H5*J5)</f>
        <v/>
      </c>
      <c r="AT5" s="223">
        <f>IF(OR(H5="",K5=""),"",H5*K5)</f>
        <v/>
      </c>
      <c r="AU5" s="223">
        <f>IF(OR(H5="",L5=""),"",H5*L5)</f>
        <v/>
      </c>
      <c r="AV5" s="224" t="n">
        <v>0.02</v>
      </c>
      <c r="AW5" s="223">
        <f>IF(OR(H5="",AV5=""),"",H5*AV5)</f>
        <v/>
      </c>
      <c r="AX5" s="225" t="n"/>
      <c r="AY5" s="223">
        <f>IF(X5="","",X5+IF(OR(AP5="",M5=""),0,AP5/M5)+SUM(AQ5:AU5)+IF(AW5="",0,AW5)+IF(AX5="",0,AX5))</f>
        <v/>
      </c>
      <c r="AZ5" s="223">
        <f>IF(X5="","",0.13*X5/1.13)</f>
        <v/>
      </c>
      <c r="BA5" s="223">
        <f>IF(OR(H5="",AY5=""),"",H5+AZ5-AY5)</f>
        <v/>
      </c>
      <c r="BB5" s="224">
        <f>IF(OR(BA5="",H5=""),"",BA5/H5)</f>
        <v/>
      </c>
      <c r="BC5" s="223">
        <f>IF(OR(H5="",AY5=""),"",H5-AY5)</f>
        <v/>
      </c>
      <c r="BD5" s="224">
        <f>IF(OR(BC5="",H5=""),"",BC5/H5)</f>
        <v/>
      </c>
      <c r="BE5" s="205" t="inlineStr">
        <is>
          <t>义乌</t>
        </is>
      </c>
      <c r="BF5" s="231" t="inlineStr">
        <is>
          <t>ABE8</t>
        </is>
      </c>
      <c r="BG5" s="205" t="inlineStr">
        <is>
          <t>海运</t>
        </is>
      </c>
      <c r="BH5" s="226" t="inlineStr">
        <is>
          <t>（最低价）</t>
        </is>
      </c>
      <c r="BI5" s="227">
        <f>IF(OR(BE5="",BF5=""),"",IF(AND(BH5&lt;&gt;"",BH5&lt;&gt;"（最低价）"),IFERROR(IF(SUMIFS(海运报价!$F$2:$F$2000,海运报价!$C$2:$C$2000,BH5,海运报价!$D$2:$D$2000,BE5,海运报价!$E$2:$E$2000,BF5)=0,"",SUMIFS(海运报价!$F$2:$F$2000,海运报价!$C$2:$C$2000,BH5,海运报价!$D$2:$D$2000,BE5,海运报价!$E$2:$E$2000,BF5)),""),IFERROR(IF(SUMIFS(海运下拉!$H$2:$H$311,海运下拉!$F$2:$F$311,BE5,海运下拉!$G$2:$G$311,BF5)=0,"",SUMIFS(海运下拉!$H$2:$H$311,海运下拉!$F$2:$F$311,BE5,海运下拉!$G$2:$G$311,BF5)),"")))</f>
        <v/>
      </c>
      <c r="BJ5" s="227">
        <f>IF(C5="","",VLOOKUP($C5,箱规!$A$2:$S$23,18,FALSE))</f>
        <v/>
      </c>
      <c r="BK5" s="228">
        <f>IF(OR(BI5="",BJ5=""),"",BJ5*(BI5+IF(AND(BH5&lt;&gt;"",BH5&lt;&gt;"（最低价）"),IFERROR(AVERAGEIFS(海运报价!$H$2:$H$2000,海运报价!$C$2:$C$2000,BH5,海运报价!$D$2:$D$2000,BE5,海运报价!$E$2:$E$2000,BF5),0),IFERROR(SUMIFS(海运下拉!$J$2:$J$311,海运下拉!$F$2:$F$311,BE5,海运下拉!$G$2:$G$311,BF5),0))))</f>
        <v/>
      </c>
      <c r="BL5" s="247" t="n"/>
      <c r="BM5" s="229">
        <f>IF(OR(BE5="",BF5=""),"请选起运地+FBA仓",IF(AND(AND(BH5&lt;&gt;"",BH5&lt;&gt;"（最低价）"),BI5=""),"⚠该渠道不服务此仓：请重选渠道，或选「（最低价）」",IF(BI5="","无报价：请换起运地/仓库",IF(AND(BH5&lt;&gt;"",BH5&lt;&gt;"（最低价）"),"按你选的渠道「"&amp;BH5&amp;"」计价","按最低价「"&amp;IFERROR(SUMIFS(海运下拉!$I$2:$I$311,海运下拉!$F$2:$F$311,BE5,海运下拉!$G$2:$G$311,BF5),"")&amp;"」（渠道默认最低价）"))))</f>
        <v/>
      </c>
      <c r="BO5" s="1">
        <f>IF(OR($BE5="",$BF5=""),"",IFERROR(INDEX(海运报价!$C$2:$C$2000,AGGREGATE(15,6,(ROW(海运报价!$C$2:$C$2000)-ROW(海运报价!$C$2)+1)/((海运报价!$D$2:$D$2000=$BE5)*(海运报价!$E$2:$E$2000=$BF5)),1)),""))</f>
        <v/>
      </c>
      <c r="BP5" s="1">
        <f>IF(OR($BE5="",$BF5=""),"",IFERROR(INDEX(海运报价!$C$2:$C$2000,AGGREGATE(15,6,(ROW(海运报价!$C$2:$C$2000)-ROW(海运报价!$C$2)+1)/((海运报价!$D$2:$D$2000=$BE5)*(海运报价!$E$2:$E$2000=$BF5)),2)),""))</f>
        <v/>
      </c>
      <c r="BQ5" s="1">
        <f>IF(OR($BE5="",$BF5=""),"",IFERROR(INDEX(海运报价!$C$2:$C$2000,AGGREGATE(15,6,(ROW(海运报价!$C$2:$C$2000)-ROW(海运报价!$C$2)+1)/((海运报价!$D$2:$D$2000=$BE5)*(海运报价!$E$2:$E$2000=$BF5)),3)),""))</f>
        <v/>
      </c>
      <c r="BR5" s="1">
        <f>IF(OR($BE5="",$BF5=""),"",IFERROR(INDEX(海运报价!$C$2:$C$2000,AGGREGATE(15,6,(ROW(海运报价!$C$2:$C$2000)-ROW(海运报价!$C$2)+1)/((海运报价!$D$2:$D$2000=$BE5)*(海运报价!$E$2:$E$2000=$BF5)),4)),""))</f>
        <v/>
      </c>
      <c r="BS5" s="1">
        <f>IF(OR($BE5="",$BF5=""),"",IFERROR(INDEX(海运报价!$C$2:$C$2000,AGGREGATE(15,6,(ROW(海运报价!$C$2:$C$2000)-ROW(海运报价!$C$2)+1)/((海运报价!$D$2:$D$2000=$BE5)*(海运报价!$E$2:$E$2000=$BF5)),5)),""))</f>
        <v/>
      </c>
      <c r="BT5" s="1">
        <f>IF(OR($BE5="",$BF5=""),"",IFERROR(INDEX(海运报价!$C$2:$C$2000,AGGREGATE(15,6,(ROW(海运报价!$C$2:$C$2000)-ROW(海运报价!$C$2)+1)/((海运报价!$D$2:$D$2000=$BE5)*(海运报价!$E$2:$E$2000=$BF5)),6)),""))</f>
        <v/>
      </c>
      <c r="BU5" s="1">
        <f>IF(OR($BE5="",$BF5=""),"",IFERROR(INDEX(海运报价!$C$2:$C$2000,AGGREGATE(15,6,(ROW(海运报价!$C$2:$C$2000)-ROW(海运报价!$C$2)+1)/((海运报价!$D$2:$D$2000=$BE5)*(海运报价!$E$2:$E$2000=$BF5)),7)),""))</f>
        <v/>
      </c>
      <c r="BV5" s="1">
        <f>IF(OR($BE5="",$BF5=""),"",IFERROR(INDEX(海运报价!$C$2:$C$2000,AGGREGATE(15,6,(ROW(海运报价!$C$2:$C$2000)-ROW(海运报价!$C$2)+1)/((海运报价!$D$2:$D$2000=$BE5)*(海运报价!$E$2:$E$2000=$BF5)),8)),""))</f>
        <v/>
      </c>
      <c r="BW5" s="1">
        <f>IF(OR($BE5="",$BF5=""),"",IFERROR(INDEX(海运报价!$C$2:$C$2000,AGGREGATE(15,6,(ROW(海运报价!$C$2:$C$2000)-ROW(海运报价!$C$2)+1)/((海运报价!$D$2:$D$2000=$BE5)*(海运报价!$E$2:$E$2000=$BF5)),9)),""))</f>
        <v/>
      </c>
      <c r="BX5" s="1">
        <f>IF(OR($BE5="",$BF5=""),"",IFERROR(INDEX(海运报价!$C$2:$C$2000,AGGREGATE(15,6,(ROW(海运报价!$C$2:$C$2000)-ROW(海运报价!$C$2)+1)/((海运报价!$D$2:$D$2000=$BE5)*(海运报价!$E$2:$E$2000=$BF5)),10)),""))</f>
        <v/>
      </c>
      <c r="BY5" s="1">
        <f>IF(OR($BE5="",$BF5=""),"",IFERROR(INDEX(海运报价!$C$2:$C$2000,AGGREGATE(15,6,(ROW(海运报价!$C$2:$C$2000)-ROW(海运报价!$C$2)+1)/((海运报价!$D$2:$D$2000=$BE5)*(海运报价!$E$2:$E$2000=$BF5)),11)),""))</f>
        <v/>
      </c>
      <c r="BZ5" s="1">
        <f>IF(OR($BE5="",$BF5=""),"",IFERROR(INDEX(海运报价!$C$2:$C$2000,AGGREGATE(15,6,(ROW(海运报价!$C$2:$C$2000)-ROW(海运报价!$C$2)+1)/((海运报价!$D$2:$D$2000=$BE5)*(海运报价!$E$2:$E$2000=$BF5)),12)),""))</f>
        <v/>
      </c>
      <c r="CA5" s="1">
        <f>IF(OR($BE5="",$BF5=""),"",IFERROR(INDEX(海运报价!$C$2:$C$2000,AGGREGATE(15,6,(ROW(海运报价!$C$2:$C$2000)-ROW(海运报价!$C$2)+1)/((海运报价!$D$2:$D$2000=$BE5)*(海运报价!$E$2:$E$2000=$BF5)),13)),""))</f>
        <v/>
      </c>
      <c r="CB5" s="1">
        <f>IF(OR($BE5="",$BF5=""),"",IFERROR(INDEX(海运报价!$C$2:$C$2000,AGGREGATE(15,6,(ROW(海运报价!$C$2:$C$2000)-ROW(海运报价!$C$2)+1)/((海运报价!$D$2:$D$2000=$BE5)*(海运报价!$E$2:$E$2000=$BF5)),14)),""))</f>
        <v/>
      </c>
      <c r="CC5" s="1">
        <f>IF(OR($BE5="",$BF5=""),"",IFERROR(INDEX(海运报价!$C$2:$C$2000,AGGREGATE(15,6,(ROW(海运报价!$C$2:$C$2000)-ROW(海运报价!$C$2)+1)/((海运报价!$D$2:$D$2000=$BE5)*(海运报价!$E$2:$E$2000=$BF5)),15)),""))</f>
        <v/>
      </c>
      <c r="CD5" s="119">
        <f>IF(OR(X5="",M5=""),"",X5+IF(OR(AA5="",M5=""),0,AA5/M5)+IF(AB5="",0,AB5)+IF(AI5="",0,AI5)+IF(Z5="",0,Z5))</f>
        <v/>
      </c>
      <c r="CE5" s="142">
        <f>I5+J5+K5+L5+AG5</f>
        <v/>
      </c>
    </row>
    <row r="6" ht="75" customHeight="1" s="67">
      <c r="A6" s="65" t="n"/>
      <c r="B6" s="248" t="n"/>
      <c r="C6" s="231" t="inlineStr">
        <is>
          <t>2'6'</t>
        </is>
      </c>
      <c r="D6" s="206">
        <f>IF(C6="","",VLOOKUP($C6,箱规!$A$2:$S$23,9,FALSE))</f>
        <v/>
      </c>
      <c r="E6" s="249" t="n"/>
      <c r="F6" s="179" t="n"/>
      <c r="G6" s="165">
        <f>IF(OR(CD6="",CE6="",CE6&gt;=1,X6=""),"",ROUNDUP((CD6-0.13*X6/1.13)/(1-CE6),2))</f>
        <v/>
      </c>
      <c r="H6" s="166">
        <f>IF(OR(CD6="",CE6="",X6=""),"",IF((1-CE6-参数!$B$16)&lt;=0,"费率过高",ROUND((CD6-0.13*X6/1.13)/(1-CE6-参数!$B$16),2)))</f>
        <v/>
      </c>
      <c r="I6" s="250" t="n">
        <v>0.15</v>
      </c>
      <c r="J6" s="250" t="n">
        <v>0.07000000000000001</v>
      </c>
      <c r="K6" s="250" t="n">
        <v>0.15</v>
      </c>
      <c r="L6" s="250" t="n">
        <v>0.01</v>
      </c>
      <c r="M6" s="251">
        <f>参数!$B$2</f>
        <v/>
      </c>
      <c r="N6" s="252">
        <f>IF(C6="","",VLOOKUP($C6,箱规!$A$2:$S$23,14,FALSE))</f>
        <v/>
      </c>
      <c r="O6" s="252">
        <f>IF(C6="","",VLOOKUP($C6,箱规!$A$2:$S$23,5,FALSE))</f>
        <v/>
      </c>
      <c r="P6" s="252">
        <f>IF(C6="","",VLOOKUP($C6,箱规!$A$2:$S$23,6,FALSE))</f>
        <v/>
      </c>
      <c r="Q6" s="252">
        <f>IF(C6="","",VLOOKUP($C6,箱规!$A$2:$S$23,7,FALSE))</f>
        <v/>
      </c>
      <c r="R6" s="279">
        <f>IF(OR(N6="",O6="",P6="",Q6=""),"",MAX(N6*FBA规则!$B$6,(O6/FBA规则!$B$5)*(P6/FBA规则!$B$5)*(Q6/FBA规则!$B$5)/FBA规则!$B$7))</f>
        <v/>
      </c>
      <c r="S6" s="280">
        <f>IF(R6="","",IF(AND(N6*FBA规则!$B$6&lt;=1,MAX(O6,P6,Q6)/FBA规则!$B$5&lt;=15,MEDIAN(O6,P6,Q6)/FBA规则!$B$5&lt;=12,MIN(O6,P6,Q6)/FBA规则!$B$5&lt;=0.75),"小标准",IF(AND(R6&lt;=20,MAX(O6,P6,Q6)/FBA规则!$B$5&lt;=18,MEDIAN(O6,P6,Q6)/FBA规则!$B$5&lt;=14,MIN(O6,P6,Q6)/FBA规则!$B$5&lt;=8),"大标准",IF(AND(R6&lt;=50,MAX(O6,P6,Q6)/FBA规则!$B$5&lt;=59,MEDIAN(O6,P6,Q6)/FBA规则!$B$5&lt;=33,MIN(O6,P6,Q6)/FBA规则!$B$5&lt;=33,T6&lt;=130),"大件",IF(R6&lt;=50,"超大0-50lb",IF(R6&lt;=70,"超大50-70lb",IF(R6&lt;=150,"超大70-150lb","超大150lb+")))))))</f>
        <v/>
      </c>
      <c r="T6" s="279">
        <f>IF(OR(O6="",P6="",Q6=""),"",MAX(O6,P6,Q6)/FBA规则!$B$5+2*((MEDIAN(O6,P6,Q6)+MIN(O6,P6,Q6))/FBA规则!$B$5))</f>
        <v/>
      </c>
      <c r="U6" s="254">
        <f>参数!$B$15</f>
        <v/>
      </c>
      <c r="V6" s="255">
        <f>IF(OR(C6="",U6=""),"",(IF(OR(VLOOKUP($C6,箱规!$A$2:$S$23,4,FALSE)="",VLOOKUP($C6,箱规!$A$2:$S$23,4,FALSE)=0),VLOOKUP($C6,箱规!$A$2:$S$23,2,FALSE)*VLOOKUP($C6,箱规!$A$2:$S$23,3,FALSE)/10000,VLOOKUP($C6,箱规!$A$2:$S$23,4,FALSE)))*U6)</f>
        <v/>
      </c>
      <c r="W6" s="256" t="n"/>
      <c r="X6" s="257">
        <f>IF(AND(V6&lt;&gt;"",M6&lt;&gt;""),V6/M6,IF(AND(W6&lt;&gt;"",M6&lt;&gt;""),W6*1.13/M6,""))</f>
        <v/>
      </c>
      <c r="Y6" s="258">
        <f>IF(OR(X6="",G6=""),"",X6/G6)</f>
        <v/>
      </c>
      <c r="Z6" s="259" t="n"/>
      <c r="AA6" s="260">
        <f>IF(OR(D6="",D6=0),"",IF(BG6="陆运",IF(BL6="",0,BL6)/D6,IF(BG6="海运",IF(BK6="",0,BK6)/D6,IF(BG6="海运+陆运",(IF(BK6="",0,BK6)+IF(BL6="",0,BL6))/D6,IF(BK6="",0,BK6)/D6))))</f>
        <v/>
      </c>
      <c r="AB6" s="259">
        <f>IF(OR(S6="",R6="",参数!$B$23=""),"",IF(S6="小标准",IFERROR(INDEX(FBA规则!$B$58:$C$65,MATCH(N6*FBA规则!$B$6*16,FBA规则!$A$58:$A$65,1),IF(参数!$B$23="旺季",2,1)),INDEX(FBA规则!$B$65:$C$65,1,IF(参数!$B$23="旺季",2,1))),IF(S6="大标准",IF(R6&lt;=3,IFERROR(INDEX(FBA规则!$B$35:$C$46,MATCH(R6,FBA规则!$A$35:$A$46,1),IF(参数!$B$23="旺季",2,1)),INDEX(FBA规则!$B$46:$C$46,1,IF(参数!$B$23="旺季",2,1))),INDEX(FBA规则!$B$47:$C$47,1,IF(参数!$B$23="旺季",2,1))+FBA规则!$D$47*CEILING((R6-3)*4,1)),IF(S6="大件",INDEX(FBA规则!$B$50:$C$50,1,IF(参数!$B$23="旺季",2,1))+FBA规则!$D$50*MAX(0,CEILING(R6,1)-1),IF(S6="超大0-50lb",INDEX(FBA规则!$B$51:$C$51,1,IF(参数!$B$23="旺季",2,1))+FBA规则!$D$51*MAX(0,CEILING(R6,1)-1),IF(S6="超大50-70lb",INDEX(FBA规则!$B$52:$C$52,1,IF(参数!$B$23="旺季",2,1))+FBA规则!$D$52*MAX(0,R6-FBA规则!$F$52),IF(S6="超大70-150lb",INDEX(FBA规则!$B$53:$C$53,1,IF(参数!$B$23="旺季",2,1))+FBA规则!$D$53*MAX(0,R6-FBA规则!$F$53),INDEX(FBA规则!$B$54:$C$54,1,IF(参数!$B$23="旺季",2,1))+FBA规则!$D$54*MAX(0,R6-FBA规则!$F$54))))))))</f>
        <v/>
      </c>
      <c r="AC6" s="259">
        <f>IF(OR(G6="",I6=""),"",G6*I6)</f>
        <v/>
      </c>
      <c r="AD6" s="259">
        <f>IF(OR(G6="",J6=""),"",G6*J6)</f>
        <v/>
      </c>
      <c r="AE6" s="259">
        <f>IF(OR(G6="",K6=""),"",G6*K6)</f>
        <v/>
      </c>
      <c r="AF6" s="259">
        <f>IF(OR(G6="",L6=""),"",G6*L6)</f>
        <v/>
      </c>
      <c r="AG6" s="258" t="n">
        <v>0.02</v>
      </c>
      <c r="AH6" s="259">
        <f>IF(OR(G6="",AG6=""),"",G6*AG6)</f>
        <v/>
      </c>
      <c r="AI6" s="259" t="n"/>
      <c r="AJ6" s="259">
        <f>IF(X6="","",X6+IF(OR(AA6="",M6=""),0,AA6/M6)+SUM(AB6:AF6)+IF(AH6="",0,AH6)+IF(AI6="",0,AI6))</f>
        <v/>
      </c>
      <c r="AK6" s="259">
        <f>IF(X6="","",0.13*X6/1.13)</f>
        <v/>
      </c>
      <c r="AL6" s="259">
        <f>IF(OR(G6="",AJ6=""),"",G6+AK6-AJ6)</f>
        <v/>
      </c>
      <c r="AM6" s="258">
        <f>IF(OR(AL6="",G6=""),"",AL6/G6)</f>
        <v/>
      </c>
      <c r="AN6" s="261">
        <f>IF(OR(X6="",H6=""),"",X6/H6)</f>
        <v/>
      </c>
      <c r="AO6" s="262" t="n"/>
      <c r="AP6" s="263">
        <f>AA6</f>
        <v/>
      </c>
      <c r="AQ6" s="262">
        <f>IF(OR(S6="",R6="",参数!$B$23=""),"",IF(S6="小标准",IFERROR(INDEX(FBA规则!$B$58:$C$65,MATCH(N6*FBA规则!$B$6*16,FBA规则!$A$58:$A$65,1),IF(参数!$B$23="旺季",2,1)),INDEX(FBA规则!$B$65:$C$65,1,IF(参数!$B$23="旺季",2,1))),IF(S6="大标准",IF(R6&lt;=3,IFERROR(INDEX(FBA规则!$B$35:$C$46,MATCH(R6,FBA规则!$A$35:$A$46,1),IF(参数!$B$23="旺季",2,1)),INDEX(FBA规则!$B$46:$C$46,1,IF(参数!$B$23="旺季",2,1))),INDEX(FBA规则!$B$47:$C$47,1,IF(参数!$B$23="旺季",2,1))+FBA规则!$D$47*CEILING((R6-3)*4,1)),IF(S6="大件",INDEX(FBA规则!$B$50:$C$50,1,IF(参数!$B$23="旺季",2,1))+FBA规则!$D$50*MAX(0,CEILING(R6,1)-1),IF(S6="超大0-50lb",INDEX(FBA规则!$B$51:$C$51,1,IF(参数!$B$23="旺季",2,1))+FBA规则!$D$51*MAX(0,CEILING(R6,1)-1),IF(S6="超大50-70lb",INDEX(FBA规则!$B$52:$C$52,1,IF(参数!$B$23="旺季",2,1))+FBA规则!$D$52*MAX(0,R6-FBA规则!$F$52),IF(S6="超大70-150lb",INDEX(FBA规则!$B$53:$C$53,1,IF(参数!$B$23="旺季",2,1))+FBA规则!$D$53*MAX(0,R6-FBA规则!$F$53),INDEX(FBA规则!$B$54:$C$54,1,IF(参数!$B$23="旺季",2,1))+FBA规则!$D$54*MAX(0,R6-FBA规则!$F$54))))))))</f>
        <v/>
      </c>
      <c r="AR6" s="262">
        <f>IF(OR(H6="",I6=""),"",H6*I6)</f>
        <v/>
      </c>
      <c r="AS6" s="262">
        <f>IF(OR(H6="",J6=""),"",H6*J6)</f>
        <v/>
      </c>
      <c r="AT6" s="223">
        <f>IF(OR(H6="",K6=""),"",H6*K6)</f>
        <v/>
      </c>
      <c r="AU6" s="223">
        <f>IF(OR(H6="",L6=""),"",H6*L6)</f>
        <v/>
      </c>
      <c r="AV6" s="224" t="n">
        <v>0.02</v>
      </c>
      <c r="AW6" s="223">
        <f>IF(OR(H6="",AV6=""),"",H6*AV6)</f>
        <v/>
      </c>
      <c r="AX6" s="225" t="n"/>
      <c r="AY6" s="223">
        <f>IF(X6="","",X6+IF(OR(AP6="",M6=""),0,AP6/M6)+SUM(AQ6:AU6)+IF(AW6="",0,AW6)+IF(AX6="",0,AX6))</f>
        <v/>
      </c>
      <c r="AZ6" s="223">
        <f>IF(X6="","",0.13*X6/1.13)</f>
        <v/>
      </c>
      <c r="BA6" s="223">
        <f>IF(OR(H6="",AY6=""),"",H6+AZ6-AY6)</f>
        <v/>
      </c>
      <c r="BB6" s="224">
        <f>IF(OR(BA6="",H6=""),"",BA6/H6)</f>
        <v/>
      </c>
      <c r="BC6" s="223">
        <f>IF(OR(H6="",AY6=""),"",H6-AY6)</f>
        <v/>
      </c>
      <c r="BD6" s="224">
        <f>IF(OR(BC6="",H6=""),"",BC6/H6)</f>
        <v/>
      </c>
      <c r="BE6" s="205" t="inlineStr">
        <is>
          <t>义乌</t>
        </is>
      </c>
      <c r="BF6" s="231" t="inlineStr">
        <is>
          <t>ABE8</t>
        </is>
      </c>
      <c r="BG6" s="205" t="inlineStr">
        <is>
          <t>海运</t>
        </is>
      </c>
      <c r="BH6" s="226" t="inlineStr">
        <is>
          <t>（最低价）</t>
        </is>
      </c>
      <c r="BI6" s="227">
        <f>IF(OR(BE6="",BF6=""),"",IF(AND(BH6&lt;&gt;"",BH6&lt;&gt;"（最低价）"),IFERROR(IF(SUMIFS(海运报价!$F$2:$F$2000,海运报价!$C$2:$C$2000,BH6,海运报价!$D$2:$D$2000,BE6,海运报价!$E$2:$E$2000,BF6)=0,"",SUMIFS(海运报价!$F$2:$F$2000,海运报价!$C$2:$C$2000,BH6,海运报价!$D$2:$D$2000,BE6,海运报价!$E$2:$E$2000,BF6)),""),IFERROR(IF(SUMIFS(海运下拉!$H$2:$H$311,海运下拉!$F$2:$F$311,BE6,海运下拉!$G$2:$G$311,BF6)=0,"",SUMIFS(海运下拉!$H$2:$H$311,海运下拉!$F$2:$F$311,BE6,海运下拉!$G$2:$G$311,BF6)),"")))</f>
        <v/>
      </c>
      <c r="BJ6" s="227">
        <f>IF(C6="","",VLOOKUP($C6,箱规!$A$2:$S$23,18,FALSE))</f>
        <v/>
      </c>
      <c r="BK6" s="228">
        <f>IF(OR(BI6="",BJ6=""),"",BJ6*(BI6+IF(AND(BH6&lt;&gt;"",BH6&lt;&gt;"（最低价）"),IFERROR(AVERAGEIFS(海运报价!$H$2:$H$2000,海运报价!$C$2:$C$2000,BH6,海运报价!$D$2:$D$2000,BE6,海运报价!$E$2:$E$2000,BF6),0),IFERROR(SUMIFS(海运下拉!$J$2:$J$311,海运下拉!$F$2:$F$311,BE6,海运下拉!$G$2:$G$311,BF6),0))))</f>
        <v/>
      </c>
      <c r="BL6" s="247" t="n"/>
      <c r="BM6" s="229">
        <f>IF(OR(BE6="",BF6=""),"请选起运地+FBA仓",IF(AND(AND(BH6&lt;&gt;"",BH6&lt;&gt;"（最低价）"),BI6=""),"⚠该渠道不服务此仓：请重选渠道，或选「（最低价）」",IF(BI6="","无报价：请换起运地/仓库",IF(AND(BH6&lt;&gt;"",BH6&lt;&gt;"（最低价）"),"按你选的渠道「"&amp;BH6&amp;"」计价","按最低价「"&amp;IFERROR(SUMIFS(海运下拉!$I$2:$I$311,海运下拉!$F$2:$F$311,BE6,海运下拉!$G$2:$G$311,BF6),"")&amp;"」（渠道默认最低价）"))))</f>
        <v/>
      </c>
      <c r="BO6" s="1">
        <f>IF(OR($BE6="",$BF6=""),"",IFERROR(INDEX(海运报价!$C$2:$C$2000,AGGREGATE(15,6,(ROW(海运报价!$C$2:$C$2000)-ROW(海运报价!$C$2)+1)/((海运报价!$D$2:$D$2000=$BE6)*(海运报价!$E$2:$E$2000=$BF6)),1)),""))</f>
        <v/>
      </c>
      <c r="BP6" s="1">
        <f>IF(OR($BE6="",$BF6=""),"",IFERROR(INDEX(海运报价!$C$2:$C$2000,AGGREGATE(15,6,(ROW(海运报价!$C$2:$C$2000)-ROW(海运报价!$C$2)+1)/((海运报价!$D$2:$D$2000=$BE6)*(海运报价!$E$2:$E$2000=$BF6)),2)),""))</f>
        <v/>
      </c>
      <c r="BQ6" s="1">
        <f>IF(OR($BE6="",$BF6=""),"",IFERROR(INDEX(海运报价!$C$2:$C$2000,AGGREGATE(15,6,(ROW(海运报价!$C$2:$C$2000)-ROW(海运报价!$C$2)+1)/((海运报价!$D$2:$D$2000=$BE6)*(海运报价!$E$2:$E$2000=$BF6)),3)),""))</f>
        <v/>
      </c>
      <c r="BR6" s="1">
        <f>IF(OR($BE6="",$BF6=""),"",IFERROR(INDEX(海运报价!$C$2:$C$2000,AGGREGATE(15,6,(ROW(海运报价!$C$2:$C$2000)-ROW(海运报价!$C$2)+1)/((海运报价!$D$2:$D$2000=$BE6)*(海运报价!$E$2:$E$2000=$BF6)),4)),""))</f>
        <v/>
      </c>
      <c r="BS6" s="1">
        <f>IF(OR($BE6="",$BF6=""),"",IFERROR(INDEX(海运报价!$C$2:$C$2000,AGGREGATE(15,6,(ROW(海运报价!$C$2:$C$2000)-ROW(海运报价!$C$2)+1)/((海运报价!$D$2:$D$2000=$BE6)*(海运报价!$E$2:$E$2000=$BF6)),5)),""))</f>
        <v/>
      </c>
      <c r="BT6" s="1">
        <f>IF(OR($BE6="",$BF6=""),"",IFERROR(INDEX(海运报价!$C$2:$C$2000,AGGREGATE(15,6,(ROW(海运报价!$C$2:$C$2000)-ROW(海运报价!$C$2)+1)/((海运报价!$D$2:$D$2000=$BE6)*(海运报价!$E$2:$E$2000=$BF6)),6)),""))</f>
        <v/>
      </c>
      <c r="BU6" s="1">
        <f>IF(OR($BE6="",$BF6=""),"",IFERROR(INDEX(海运报价!$C$2:$C$2000,AGGREGATE(15,6,(ROW(海运报价!$C$2:$C$2000)-ROW(海运报价!$C$2)+1)/((海运报价!$D$2:$D$2000=$BE6)*(海运报价!$E$2:$E$2000=$BF6)),7)),""))</f>
        <v/>
      </c>
      <c r="BV6" s="1">
        <f>IF(OR($BE6="",$BF6=""),"",IFERROR(INDEX(海运报价!$C$2:$C$2000,AGGREGATE(15,6,(ROW(海运报价!$C$2:$C$2000)-ROW(海运报价!$C$2)+1)/((海运报价!$D$2:$D$2000=$BE6)*(海运报价!$E$2:$E$2000=$BF6)),8)),""))</f>
        <v/>
      </c>
      <c r="BW6" s="1">
        <f>IF(OR($BE6="",$BF6=""),"",IFERROR(INDEX(海运报价!$C$2:$C$2000,AGGREGATE(15,6,(ROW(海运报价!$C$2:$C$2000)-ROW(海运报价!$C$2)+1)/((海运报价!$D$2:$D$2000=$BE6)*(海运报价!$E$2:$E$2000=$BF6)),9)),""))</f>
        <v/>
      </c>
      <c r="BX6" s="1">
        <f>IF(OR($BE6="",$BF6=""),"",IFERROR(INDEX(海运报价!$C$2:$C$2000,AGGREGATE(15,6,(ROW(海运报价!$C$2:$C$2000)-ROW(海运报价!$C$2)+1)/((海运报价!$D$2:$D$2000=$BE6)*(海运报价!$E$2:$E$2000=$BF6)),10)),""))</f>
        <v/>
      </c>
      <c r="BY6" s="1">
        <f>IF(OR($BE6="",$BF6=""),"",IFERROR(INDEX(海运报价!$C$2:$C$2000,AGGREGATE(15,6,(ROW(海运报价!$C$2:$C$2000)-ROW(海运报价!$C$2)+1)/((海运报价!$D$2:$D$2000=$BE6)*(海运报价!$E$2:$E$2000=$BF6)),11)),""))</f>
        <v/>
      </c>
      <c r="BZ6" s="1">
        <f>IF(OR($BE6="",$BF6=""),"",IFERROR(INDEX(海运报价!$C$2:$C$2000,AGGREGATE(15,6,(ROW(海运报价!$C$2:$C$2000)-ROW(海运报价!$C$2)+1)/((海运报价!$D$2:$D$2000=$BE6)*(海运报价!$E$2:$E$2000=$BF6)),12)),""))</f>
        <v/>
      </c>
      <c r="CA6" s="1">
        <f>IF(OR($BE6="",$BF6=""),"",IFERROR(INDEX(海运报价!$C$2:$C$2000,AGGREGATE(15,6,(ROW(海运报价!$C$2:$C$2000)-ROW(海运报价!$C$2)+1)/((海运报价!$D$2:$D$2000=$BE6)*(海运报价!$E$2:$E$2000=$BF6)),13)),""))</f>
        <v/>
      </c>
      <c r="CB6" s="1">
        <f>IF(OR($BE6="",$BF6=""),"",IFERROR(INDEX(海运报价!$C$2:$C$2000,AGGREGATE(15,6,(ROW(海运报价!$C$2:$C$2000)-ROW(海运报价!$C$2)+1)/((海运报价!$D$2:$D$2000=$BE6)*(海运报价!$E$2:$E$2000=$BF6)),14)),""))</f>
        <v/>
      </c>
      <c r="CC6" s="1">
        <f>IF(OR($BE6="",$BF6=""),"",IFERROR(INDEX(海运报价!$C$2:$C$2000,AGGREGATE(15,6,(ROW(海运报价!$C$2:$C$2000)-ROW(海运报价!$C$2)+1)/((海运报价!$D$2:$D$2000=$BE6)*(海运报价!$E$2:$E$2000=$BF6)),15)),""))</f>
        <v/>
      </c>
      <c r="CD6" s="119">
        <f>IF(OR(X6="",M6=""),"",X6+IF(OR(AA6="",M6=""),0,AA6/M6)+IF(AB6="",0,AB6)+IF(AI6="",0,AI6)+IF(Z6="",0,Z6))</f>
        <v/>
      </c>
      <c r="CE6" s="142">
        <f>I6+J6+K6+L6+AG6</f>
        <v/>
      </c>
    </row>
    <row r="7" ht="14.1" customHeight="1" s="67">
      <c r="A7" s="65" t="n"/>
      <c r="B7" s="248" t="n"/>
      <c r="C7" s="231" t="inlineStr">
        <is>
          <t>2'8'</t>
        </is>
      </c>
      <c r="D7" s="206">
        <f>IF(C7="","",VLOOKUP($C7,箱规!$A$2:$S$23,9,FALSE))</f>
        <v/>
      </c>
      <c r="E7" s="249" t="n"/>
      <c r="F7" s="179" t="n"/>
      <c r="G7" s="165">
        <f>IF(OR(CD7="",CE7="",CE7&gt;=1,X7=""),"",ROUNDUP((CD7-0.13*X7/1.13)/(1-CE7),2))</f>
        <v/>
      </c>
      <c r="H7" s="166">
        <f>IF(OR(CD7="",CE7="",X7=""),"",IF((1-CE7-参数!$B$16)&lt;=0,"费率过高",ROUND((CD7-0.13*X7/1.13)/(1-CE7-参数!$B$16),2)))</f>
        <v/>
      </c>
      <c r="I7" s="250" t="n">
        <v>0.15</v>
      </c>
      <c r="J7" s="250" t="n">
        <v>0.07000000000000001</v>
      </c>
      <c r="K7" s="250" t="n">
        <v>0.15</v>
      </c>
      <c r="L7" s="250" t="n">
        <v>0.01</v>
      </c>
      <c r="M7" s="251">
        <f>参数!$B$2</f>
        <v/>
      </c>
      <c r="N7" s="252">
        <f>IF(C7="","",VLOOKUP($C7,箱规!$A$2:$S$23,14,FALSE))</f>
        <v/>
      </c>
      <c r="O7" s="252">
        <f>IF(C7="","",VLOOKUP($C7,箱规!$A$2:$S$23,5,FALSE))</f>
        <v/>
      </c>
      <c r="P7" s="252">
        <f>IF(C7="","",VLOOKUP($C7,箱规!$A$2:$S$23,6,FALSE))</f>
        <v/>
      </c>
      <c r="Q7" s="252">
        <f>IF(C7="","",VLOOKUP($C7,箱规!$A$2:$S$23,7,FALSE))</f>
        <v/>
      </c>
      <c r="R7" s="279">
        <f>IF(OR(N7="",O7="",P7="",Q7=""),"",MAX(N7*FBA规则!$B$6,(O7/FBA规则!$B$5)*(P7/FBA规则!$B$5)*(Q7/FBA规则!$B$5)/FBA规则!$B$7))</f>
        <v/>
      </c>
      <c r="S7" s="280">
        <f>IF(R7="","",IF(AND(N7*FBA规则!$B$6&lt;=1,MAX(O7,P7,Q7)/FBA规则!$B$5&lt;=15,MEDIAN(O7,P7,Q7)/FBA规则!$B$5&lt;=12,MIN(O7,P7,Q7)/FBA规则!$B$5&lt;=0.75),"小标准",IF(AND(R7&lt;=20,MAX(O7,P7,Q7)/FBA规则!$B$5&lt;=18,MEDIAN(O7,P7,Q7)/FBA规则!$B$5&lt;=14,MIN(O7,P7,Q7)/FBA规则!$B$5&lt;=8),"大标准",IF(AND(R7&lt;=50,MAX(O7,P7,Q7)/FBA规则!$B$5&lt;=59,MEDIAN(O7,P7,Q7)/FBA规则!$B$5&lt;=33,MIN(O7,P7,Q7)/FBA规则!$B$5&lt;=33,T7&lt;=130),"大件",IF(R7&lt;=50,"超大0-50lb",IF(R7&lt;=70,"超大50-70lb",IF(R7&lt;=150,"超大70-150lb","超大150lb+")))))))</f>
        <v/>
      </c>
      <c r="T7" s="279">
        <f>IF(OR(O7="",P7="",Q7=""),"",MAX(O7,P7,Q7)/FBA规则!$B$5+2*((MEDIAN(O7,P7,Q7)+MIN(O7,P7,Q7))/FBA规则!$B$5))</f>
        <v/>
      </c>
      <c r="U7" s="254">
        <f>参数!$B$15</f>
        <v/>
      </c>
      <c r="V7" s="255">
        <f>IF(OR(C7="",U7=""),"",(IF(OR(VLOOKUP($C7,箱规!$A$2:$S$23,4,FALSE)="",VLOOKUP($C7,箱规!$A$2:$S$23,4,FALSE)=0),VLOOKUP($C7,箱规!$A$2:$S$23,2,FALSE)*VLOOKUP($C7,箱规!$A$2:$S$23,3,FALSE)/10000,VLOOKUP($C7,箱规!$A$2:$S$23,4,FALSE)))*U7)</f>
        <v/>
      </c>
      <c r="W7" s="256" t="n"/>
      <c r="X7" s="257">
        <f>IF(AND(V7&lt;&gt;"",M7&lt;&gt;""),V7/M7,IF(AND(W7&lt;&gt;"",M7&lt;&gt;""),W7*1.13/M7,""))</f>
        <v/>
      </c>
      <c r="Y7" s="258">
        <f>IF(OR(X7="",G7=""),"",X7/G7)</f>
        <v/>
      </c>
      <c r="Z7" s="259" t="n"/>
      <c r="AA7" s="260">
        <f>IF(OR(D7="",D7=0),"",IF(BG7="陆运",IF(BL7="",0,BL7)/D7,IF(BG7="海运",IF(BK7="",0,BK7)/D7,IF(BG7="海运+陆运",(IF(BK7="",0,BK7)+IF(BL7="",0,BL7))/D7,IF(BK7="",0,BK7)/D7))))</f>
        <v/>
      </c>
      <c r="AB7" s="259">
        <f>IF(OR(S7="",R7="",参数!$B$23=""),"",IF(S7="小标准",IFERROR(INDEX(FBA规则!$B$58:$C$65,MATCH(N7*FBA规则!$B$6*16,FBA规则!$A$58:$A$65,1),IF(参数!$B$23="旺季",2,1)),INDEX(FBA规则!$B$65:$C$65,1,IF(参数!$B$23="旺季",2,1))),IF(S7="大标准",IF(R7&lt;=3,IFERROR(INDEX(FBA规则!$B$35:$C$46,MATCH(R7,FBA规则!$A$35:$A$46,1),IF(参数!$B$23="旺季",2,1)),INDEX(FBA规则!$B$46:$C$46,1,IF(参数!$B$23="旺季",2,1))),INDEX(FBA规则!$B$47:$C$47,1,IF(参数!$B$23="旺季",2,1))+FBA规则!$D$47*CEILING((R7-3)*4,1)),IF(S7="大件",INDEX(FBA规则!$B$50:$C$50,1,IF(参数!$B$23="旺季",2,1))+FBA规则!$D$50*MAX(0,CEILING(R7,1)-1),IF(S7="超大0-50lb",INDEX(FBA规则!$B$51:$C$51,1,IF(参数!$B$23="旺季",2,1))+FBA规则!$D$51*MAX(0,CEILING(R7,1)-1),IF(S7="超大50-70lb",INDEX(FBA规则!$B$52:$C$52,1,IF(参数!$B$23="旺季",2,1))+FBA规则!$D$52*MAX(0,R7-FBA规则!$F$52),IF(S7="超大70-150lb",INDEX(FBA规则!$B$53:$C$53,1,IF(参数!$B$23="旺季",2,1))+FBA规则!$D$53*MAX(0,R7-FBA规则!$F$53),INDEX(FBA规则!$B$54:$C$54,1,IF(参数!$B$23="旺季",2,1))+FBA规则!$D$54*MAX(0,R7-FBA规则!$F$54))))))))</f>
        <v/>
      </c>
      <c r="AC7" s="259">
        <f>IF(OR(G7="",I7=""),"",G7*I7)</f>
        <v/>
      </c>
      <c r="AD7" s="259">
        <f>IF(OR(G7="",J7=""),"",G7*J7)</f>
        <v/>
      </c>
      <c r="AE7" s="259">
        <f>IF(OR(G7="",K7=""),"",G7*K7)</f>
        <v/>
      </c>
      <c r="AF7" s="259">
        <f>IF(OR(G7="",L7=""),"",G7*L7)</f>
        <v/>
      </c>
      <c r="AG7" s="258" t="n">
        <v>0.02</v>
      </c>
      <c r="AH7" s="259">
        <f>IF(OR(G7="",AG7=""),"",G7*AG7)</f>
        <v/>
      </c>
      <c r="AI7" s="259" t="n"/>
      <c r="AJ7" s="259">
        <f>IF(X7="","",X7+IF(OR(AA7="",M7=""),0,AA7/M7)+SUM(AB7:AF7)+IF(AH7="",0,AH7)+IF(AI7="",0,AI7))</f>
        <v/>
      </c>
      <c r="AK7" s="259">
        <f>IF(X7="","",0.13*X7/1.13)</f>
        <v/>
      </c>
      <c r="AL7" s="259">
        <f>IF(OR(G7="",AJ7=""),"",G7+AK7-AJ7)</f>
        <v/>
      </c>
      <c r="AM7" s="258">
        <f>IF(OR(AL7="",G7=""),"",AL7/G7)</f>
        <v/>
      </c>
      <c r="AN7" s="261">
        <f>IF(OR(X7="",H7=""),"",X7/H7)</f>
        <v/>
      </c>
      <c r="AO7" s="262" t="n"/>
      <c r="AP7" s="263">
        <f>AA7</f>
        <v/>
      </c>
      <c r="AQ7" s="262">
        <f>IF(OR(S7="",R7="",参数!$B$23=""),"",IF(S7="小标准",IFERROR(INDEX(FBA规则!$B$58:$C$65,MATCH(N7*FBA规则!$B$6*16,FBA规则!$A$58:$A$65,1),IF(参数!$B$23="旺季",2,1)),INDEX(FBA规则!$B$65:$C$65,1,IF(参数!$B$23="旺季",2,1))),IF(S7="大标准",IF(R7&lt;=3,IFERROR(INDEX(FBA规则!$B$35:$C$46,MATCH(R7,FBA规则!$A$35:$A$46,1),IF(参数!$B$23="旺季",2,1)),INDEX(FBA规则!$B$46:$C$46,1,IF(参数!$B$23="旺季",2,1))),INDEX(FBA规则!$B$47:$C$47,1,IF(参数!$B$23="旺季",2,1))+FBA规则!$D$47*CEILING((R7-3)*4,1)),IF(S7="大件",INDEX(FBA规则!$B$50:$C$50,1,IF(参数!$B$23="旺季",2,1))+FBA规则!$D$50*MAX(0,CEILING(R7,1)-1),IF(S7="超大0-50lb",INDEX(FBA规则!$B$51:$C$51,1,IF(参数!$B$23="旺季",2,1))+FBA规则!$D$51*MAX(0,CEILING(R7,1)-1),IF(S7="超大50-70lb",INDEX(FBA规则!$B$52:$C$52,1,IF(参数!$B$23="旺季",2,1))+FBA规则!$D$52*MAX(0,R7-FBA规则!$F$52),IF(S7="超大70-150lb",INDEX(FBA规则!$B$53:$C$53,1,IF(参数!$B$23="旺季",2,1))+FBA规则!$D$53*MAX(0,R7-FBA规则!$F$53),INDEX(FBA规则!$B$54:$C$54,1,IF(参数!$B$23="旺季",2,1))+FBA规则!$D$54*MAX(0,R7-FBA规则!$F$54))))))))</f>
        <v/>
      </c>
      <c r="AR7" s="262">
        <f>IF(OR(H7="",I7=""),"",H7*I7)</f>
        <v/>
      </c>
      <c r="AS7" s="262">
        <f>IF(OR(H7="",J7=""),"",H7*J7)</f>
        <v/>
      </c>
      <c r="AT7" s="223">
        <f>IF(OR(H7="",K7=""),"",H7*K7)</f>
        <v/>
      </c>
      <c r="AU7" s="223">
        <f>IF(OR(H7="",L7=""),"",H7*L7)</f>
        <v/>
      </c>
      <c r="AV7" s="224" t="n">
        <v>0.02</v>
      </c>
      <c r="AW7" s="223">
        <f>IF(OR(H7="",AV7=""),"",H7*AV7)</f>
        <v/>
      </c>
      <c r="AX7" s="225" t="n"/>
      <c r="AY7" s="223">
        <f>IF(X7="","",X7+IF(OR(AP7="",M7=""),0,AP7/M7)+SUM(AQ7:AU7)+IF(AW7="",0,AW7)+IF(AX7="",0,AX7))</f>
        <v/>
      </c>
      <c r="AZ7" s="223">
        <f>IF(X7="","",0.13*X7/1.13)</f>
        <v/>
      </c>
      <c r="BA7" s="223">
        <f>IF(OR(H7="",AY7=""),"",H7+AZ7-AY7)</f>
        <v/>
      </c>
      <c r="BB7" s="224">
        <f>IF(OR(BA7="",H7=""),"",BA7/H7)</f>
        <v/>
      </c>
      <c r="BC7" s="223">
        <f>IF(OR(H7="",AY7=""),"",H7-AY7)</f>
        <v/>
      </c>
      <c r="BD7" s="224">
        <f>IF(OR(BC7="",H7=""),"",BC7/H7)</f>
        <v/>
      </c>
      <c r="BE7" s="205" t="inlineStr">
        <is>
          <t>义乌</t>
        </is>
      </c>
      <c r="BF7" s="231" t="inlineStr">
        <is>
          <t>ABE8</t>
        </is>
      </c>
      <c r="BG7" s="205" t="inlineStr">
        <is>
          <t>海运</t>
        </is>
      </c>
      <c r="BH7" s="226" t="inlineStr">
        <is>
          <t>（最低价）</t>
        </is>
      </c>
      <c r="BI7" s="227">
        <f>IF(OR(BE7="",BF7=""),"",IF(AND(BH7&lt;&gt;"",BH7&lt;&gt;"（最低价）"),IFERROR(IF(SUMIFS(海运报价!$F$2:$F$2000,海运报价!$C$2:$C$2000,BH7,海运报价!$D$2:$D$2000,BE7,海运报价!$E$2:$E$2000,BF7)=0,"",SUMIFS(海运报价!$F$2:$F$2000,海运报价!$C$2:$C$2000,BH7,海运报价!$D$2:$D$2000,BE7,海运报价!$E$2:$E$2000,BF7)),""),IFERROR(IF(SUMIFS(海运下拉!$H$2:$H$311,海运下拉!$F$2:$F$311,BE7,海运下拉!$G$2:$G$311,BF7)=0,"",SUMIFS(海运下拉!$H$2:$H$311,海运下拉!$F$2:$F$311,BE7,海运下拉!$G$2:$G$311,BF7)),"")))</f>
        <v/>
      </c>
      <c r="BJ7" s="227">
        <f>IF(C7="","",VLOOKUP($C7,箱规!$A$2:$S$23,18,FALSE))</f>
        <v/>
      </c>
      <c r="BK7" s="228">
        <f>IF(OR(BI7="",BJ7=""),"",BJ7*(BI7+IF(AND(BH7&lt;&gt;"",BH7&lt;&gt;"（最低价）"),IFERROR(AVERAGEIFS(海运报价!$H$2:$H$2000,海运报价!$C$2:$C$2000,BH7,海运报价!$D$2:$D$2000,BE7,海运报价!$E$2:$E$2000,BF7),0),IFERROR(SUMIFS(海运下拉!$J$2:$J$311,海运下拉!$F$2:$F$311,BE7,海运下拉!$G$2:$G$311,BF7),0))))</f>
        <v/>
      </c>
      <c r="BL7" s="247" t="n"/>
      <c r="BM7" s="229">
        <f>IF(OR(BE7="",BF7=""),"请选起运地+FBA仓",IF(AND(AND(BH7&lt;&gt;"",BH7&lt;&gt;"（最低价）"),BI7=""),"⚠该渠道不服务此仓：请重选渠道，或选「（最低价）」",IF(BI7="","无报价：请换起运地/仓库",IF(AND(BH7&lt;&gt;"",BH7&lt;&gt;"（最低价）"),"按你选的渠道「"&amp;BH7&amp;"」计价","按最低价「"&amp;IFERROR(SUMIFS(海运下拉!$I$2:$I$311,海运下拉!$F$2:$F$311,BE7,海运下拉!$G$2:$G$311,BF7),"")&amp;"」（渠道默认最低价）"))))</f>
        <v/>
      </c>
      <c r="BO7" s="1">
        <f>IF(OR($BE7="",$BF7=""),"",IFERROR(INDEX(海运报价!$C$2:$C$2000,AGGREGATE(15,6,(ROW(海运报价!$C$2:$C$2000)-ROW(海运报价!$C$2)+1)/((海运报价!$D$2:$D$2000=$BE7)*(海运报价!$E$2:$E$2000=$BF7)),1)),""))</f>
        <v/>
      </c>
      <c r="BP7" s="1">
        <f>IF(OR($BE7="",$BF7=""),"",IFERROR(INDEX(海运报价!$C$2:$C$2000,AGGREGATE(15,6,(ROW(海运报价!$C$2:$C$2000)-ROW(海运报价!$C$2)+1)/((海运报价!$D$2:$D$2000=$BE7)*(海运报价!$E$2:$E$2000=$BF7)),2)),""))</f>
        <v/>
      </c>
      <c r="BQ7" s="1">
        <f>IF(OR($BE7="",$BF7=""),"",IFERROR(INDEX(海运报价!$C$2:$C$2000,AGGREGATE(15,6,(ROW(海运报价!$C$2:$C$2000)-ROW(海运报价!$C$2)+1)/((海运报价!$D$2:$D$2000=$BE7)*(海运报价!$E$2:$E$2000=$BF7)),3)),""))</f>
        <v/>
      </c>
      <c r="BR7" s="1">
        <f>IF(OR($BE7="",$BF7=""),"",IFERROR(INDEX(海运报价!$C$2:$C$2000,AGGREGATE(15,6,(ROW(海运报价!$C$2:$C$2000)-ROW(海运报价!$C$2)+1)/((海运报价!$D$2:$D$2000=$BE7)*(海运报价!$E$2:$E$2000=$BF7)),4)),""))</f>
        <v/>
      </c>
      <c r="BS7" s="1">
        <f>IF(OR($BE7="",$BF7=""),"",IFERROR(INDEX(海运报价!$C$2:$C$2000,AGGREGATE(15,6,(ROW(海运报价!$C$2:$C$2000)-ROW(海运报价!$C$2)+1)/((海运报价!$D$2:$D$2000=$BE7)*(海运报价!$E$2:$E$2000=$BF7)),5)),""))</f>
        <v/>
      </c>
      <c r="BT7" s="1">
        <f>IF(OR($BE7="",$BF7=""),"",IFERROR(INDEX(海运报价!$C$2:$C$2000,AGGREGATE(15,6,(ROW(海运报价!$C$2:$C$2000)-ROW(海运报价!$C$2)+1)/((海运报价!$D$2:$D$2000=$BE7)*(海运报价!$E$2:$E$2000=$BF7)),6)),""))</f>
        <v/>
      </c>
      <c r="BU7" s="1">
        <f>IF(OR($BE7="",$BF7=""),"",IFERROR(INDEX(海运报价!$C$2:$C$2000,AGGREGATE(15,6,(ROW(海运报价!$C$2:$C$2000)-ROW(海运报价!$C$2)+1)/((海运报价!$D$2:$D$2000=$BE7)*(海运报价!$E$2:$E$2000=$BF7)),7)),""))</f>
        <v/>
      </c>
      <c r="BV7" s="1">
        <f>IF(OR($BE7="",$BF7=""),"",IFERROR(INDEX(海运报价!$C$2:$C$2000,AGGREGATE(15,6,(ROW(海运报价!$C$2:$C$2000)-ROW(海运报价!$C$2)+1)/((海运报价!$D$2:$D$2000=$BE7)*(海运报价!$E$2:$E$2000=$BF7)),8)),""))</f>
        <v/>
      </c>
      <c r="BW7" s="1">
        <f>IF(OR($BE7="",$BF7=""),"",IFERROR(INDEX(海运报价!$C$2:$C$2000,AGGREGATE(15,6,(ROW(海运报价!$C$2:$C$2000)-ROW(海运报价!$C$2)+1)/((海运报价!$D$2:$D$2000=$BE7)*(海运报价!$E$2:$E$2000=$BF7)),9)),""))</f>
        <v/>
      </c>
      <c r="BX7" s="1">
        <f>IF(OR($BE7="",$BF7=""),"",IFERROR(INDEX(海运报价!$C$2:$C$2000,AGGREGATE(15,6,(ROW(海运报价!$C$2:$C$2000)-ROW(海运报价!$C$2)+1)/((海运报价!$D$2:$D$2000=$BE7)*(海运报价!$E$2:$E$2000=$BF7)),10)),""))</f>
        <v/>
      </c>
      <c r="BY7" s="1">
        <f>IF(OR($BE7="",$BF7=""),"",IFERROR(INDEX(海运报价!$C$2:$C$2000,AGGREGATE(15,6,(ROW(海运报价!$C$2:$C$2000)-ROW(海运报价!$C$2)+1)/((海运报价!$D$2:$D$2000=$BE7)*(海运报价!$E$2:$E$2000=$BF7)),11)),""))</f>
        <v/>
      </c>
      <c r="BZ7" s="1">
        <f>IF(OR($BE7="",$BF7=""),"",IFERROR(INDEX(海运报价!$C$2:$C$2000,AGGREGATE(15,6,(ROW(海运报价!$C$2:$C$2000)-ROW(海运报价!$C$2)+1)/((海运报价!$D$2:$D$2000=$BE7)*(海运报价!$E$2:$E$2000=$BF7)),12)),""))</f>
        <v/>
      </c>
      <c r="CA7" s="1">
        <f>IF(OR($BE7="",$BF7=""),"",IFERROR(INDEX(海运报价!$C$2:$C$2000,AGGREGATE(15,6,(ROW(海运报价!$C$2:$C$2000)-ROW(海运报价!$C$2)+1)/((海运报价!$D$2:$D$2000=$BE7)*(海运报价!$E$2:$E$2000=$BF7)),13)),""))</f>
        <v/>
      </c>
      <c r="CB7" s="1">
        <f>IF(OR($BE7="",$BF7=""),"",IFERROR(INDEX(海运报价!$C$2:$C$2000,AGGREGATE(15,6,(ROW(海运报价!$C$2:$C$2000)-ROW(海运报价!$C$2)+1)/((海运报价!$D$2:$D$2000=$BE7)*(海运报价!$E$2:$E$2000=$BF7)),14)),""))</f>
        <v/>
      </c>
      <c r="CC7" s="1">
        <f>IF(OR($BE7="",$BF7=""),"",IFERROR(INDEX(海运报价!$C$2:$C$2000,AGGREGATE(15,6,(ROW(海运报价!$C$2:$C$2000)-ROW(海运报价!$C$2)+1)/((海运报价!$D$2:$D$2000=$BE7)*(海运报价!$E$2:$E$2000=$BF7)),15)),""))</f>
        <v/>
      </c>
      <c r="CD7" s="119">
        <f>IF(OR(X7="",M7=""),"",X7+IF(OR(AA7="",M7=""),0,AA7/M7)+IF(AB7="",0,AB7)+IF(AI7="",0,AI7)+IF(Z7="",0,Z7))</f>
        <v/>
      </c>
      <c r="CE7" s="142">
        <f>I7+J7+K7+L7+AG7</f>
        <v/>
      </c>
    </row>
    <row r="8" ht="14.1" customHeight="1" s="67">
      <c r="A8" s="65" t="n"/>
      <c r="B8" s="248" t="n"/>
      <c r="C8" s="231" t="inlineStr">
        <is>
          <t>2'10'</t>
        </is>
      </c>
      <c r="D8" s="206">
        <f>IF(C8="","",VLOOKUP($C8,箱规!$A$2:$S$23,9,FALSE))</f>
        <v/>
      </c>
      <c r="E8" s="249" t="n"/>
      <c r="F8" s="179" t="n"/>
      <c r="G8" s="165">
        <f>IF(OR(CD8="",CE8="",CE8&gt;=1,X8=""),"",ROUNDUP((CD8-0.13*X8/1.13)/(1-CE8),2))</f>
        <v/>
      </c>
      <c r="H8" s="166">
        <f>IF(OR(CD8="",CE8="",X8=""),"",IF((1-CE8-参数!$B$16)&lt;=0,"费率过高",ROUND((CD8-0.13*X8/1.13)/(1-CE8-参数!$B$16),2)))</f>
        <v/>
      </c>
      <c r="I8" s="250" t="n">
        <v>0.15</v>
      </c>
      <c r="J8" s="250" t="n">
        <v>0.07000000000000001</v>
      </c>
      <c r="K8" s="250" t="n">
        <v>0.15</v>
      </c>
      <c r="L8" s="250" t="n">
        <v>0.01</v>
      </c>
      <c r="M8" s="251">
        <f>参数!$B$2</f>
        <v/>
      </c>
      <c r="N8" s="252">
        <f>IF(C8="","",VLOOKUP($C8,箱规!$A$2:$S$23,14,FALSE))</f>
        <v/>
      </c>
      <c r="O8" s="252">
        <f>IF(C8="","",VLOOKUP($C8,箱规!$A$2:$S$23,5,FALSE))</f>
        <v/>
      </c>
      <c r="P8" s="252">
        <f>IF(C8="","",VLOOKUP($C8,箱规!$A$2:$S$23,6,FALSE))</f>
        <v/>
      </c>
      <c r="Q8" s="252">
        <f>IF(C8="","",VLOOKUP($C8,箱规!$A$2:$S$23,7,FALSE))</f>
        <v/>
      </c>
      <c r="R8" s="279">
        <f>IF(OR(N8="",O8="",P8="",Q8=""),"",MAX(N8*FBA规则!$B$6,(O8/FBA规则!$B$5)*(P8/FBA规则!$B$5)*(Q8/FBA规则!$B$5)/FBA规则!$B$7))</f>
        <v/>
      </c>
      <c r="S8" s="280">
        <f>IF(R8="","",IF(AND(N8*FBA规则!$B$6&lt;=1,MAX(O8,P8,Q8)/FBA规则!$B$5&lt;=15,MEDIAN(O8,P8,Q8)/FBA规则!$B$5&lt;=12,MIN(O8,P8,Q8)/FBA规则!$B$5&lt;=0.75),"小标准",IF(AND(R8&lt;=20,MAX(O8,P8,Q8)/FBA规则!$B$5&lt;=18,MEDIAN(O8,P8,Q8)/FBA规则!$B$5&lt;=14,MIN(O8,P8,Q8)/FBA规则!$B$5&lt;=8),"大标准",IF(AND(R8&lt;=50,MAX(O8,P8,Q8)/FBA规则!$B$5&lt;=59,MEDIAN(O8,P8,Q8)/FBA规则!$B$5&lt;=33,MIN(O8,P8,Q8)/FBA规则!$B$5&lt;=33,T8&lt;=130),"大件",IF(R8&lt;=50,"超大0-50lb",IF(R8&lt;=70,"超大50-70lb",IF(R8&lt;=150,"超大70-150lb","超大150lb+")))))))</f>
        <v/>
      </c>
      <c r="T8" s="279">
        <f>IF(OR(O8="",P8="",Q8=""),"",MAX(O8,P8,Q8)/FBA规则!$B$5+2*((MEDIAN(O8,P8,Q8)+MIN(O8,P8,Q8))/FBA规则!$B$5))</f>
        <v/>
      </c>
      <c r="U8" s="254">
        <f>参数!$B$15</f>
        <v/>
      </c>
      <c r="V8" s="255">
        <f>IF(OR(C8="",U8=""),"",(IF(OR(VLOOKUP($C8,箱规!$A$2:$S$23,4,FALSE)="",VLOOKUP($C8,箱规!$A$2:$S$23,4,FALSE)=0),VLOOKUP($C8,箱规!$A$2:$S$23,2,FALSE)*VLOOKUP($C8,箱规!$A$2:$S$23,3,FALSE)/10000,VLOOKUP($C8,箱规!$A$2:$S$23,4,FALSE)))*U8)</f>
        <v/>
      </c>
      <c r="W8" s="256" t="n"/>
      <c r="X8" s="257">
        <f>IF(AND(V8&lt;&gt;"",M8&lt;&gt;""),V8/M8,IF(AND(W8&lt;&gt;"",M8&lt;&gt;""),W8*1.13/M8,""))</f>
        <v/>
      </c>
      <c r="Y8" s="258">
        <f>IF(OR(X8="",G8=""),"",X8/G8)</f>
        <v/>
      </c>
      <c r="Z8" s="259" t="n"/>
      <c r="AA8" s="260">
        <f>IF(OR(D8="",D8=0),"",IF(BG8="陆运",IF(BL8="",0,BL8)/D8,IF(BG8="海运",IF(BK8="",0,BK8)/D8,IF(BG8="海运+陆运",(IF(BK8="",0,BK8)+IF(BL8="",0,BL8))/D8,IF(BK8="",0,BK8)/D8))))</f>
        <v/>
      </c>
      <c r="AB8" s="259">
        <f>IF(OR(S8="",R8="",参数!$B$23=""),"",IF(S8="小标准",IFERROR(INDEX(FBA规则!$B$58:$C$65,MATCH(N8*FBA规则!$B$6*16,FBA规则!$A$58:$A$65,1),IF(参数!$B$23="旺季",2,1)),INDEX(FBA规则!$B$65:$C$65,1,IF(参数!$B$23="旺季",2,1))),IF(S8="大标准",IF(R8&lt;=3,IFERROR(INDEX(FBA规则!$B$35:$C$46,MATCH(R8,FBA规则!$A$35:$A$46,1),IF(参数!$B$23="旺季",2,1)),INDEX(FBA规则!$B$46:$C$46,1,IF(参数!$B$23="旺季",2,1))),INDEX(FBA规则!$B$47:$C$47,1,IF(参数!$B$23="旺季",2,1))+FBA规则!$D$47*CEILING((R8-3)*4,1)),IF(S8="大件",INDEX(FBA规则!$B$50:$C$50,1,IF(参数!$B$23="旺季",2,1))+FBA规则!$D$50*MAX(0,CEILING(R8,1)-1),IF(S8="超大0-50lb",INDEX(FBA规则!$B$51:$C$51,1,IF(参数!$B$23="旺季",2,1))+FBA规则!$D$51*MAX(0,CEILING(R8,1)-1),IF(S8="超大50-70lb",INDEX(FBA规则!$B$52:$C$52,1,IF(参数!$B$23="旺季",2,1))+FBA规则!$D$52*MAX(0,R8-FBA规则!$F$52),IF(S8="超大70-150lb",INDEX(FBA规则!$B$53:$C$53,1,IF(参数!$B$23="旺季",2,1))+FBA规则!$D$53*MAX(0,R8-FBA规则!$F$53),INDEX(FBA规则!$B$54:$C$54,1,IF(参数!$B$23="旺季",2,1))+FBA规则!$D$54*MAX(0,R8-FBA规则!$F$54))))))))</f>
        <v/>
      </c>
      <c r="AC8" s="259">
        <f>IF(OR(G8="",I8=""),"",G8*I8)</f>
        <v/>
      </c>
      <c r="AD8" s="259">
        <f>IF(OR(G8="",J8=""),"",G8*J8)</f>
        <v/>
      </c>
      <c r="AE8" s="259">
        <f>IF(OR(G8="",K8=""),"",G8*K8)</f>
        <v/>
      </c>
      <c r="AF8" s="259">
        <f>IF(OR(G8="",L8=""),"",G8*L8)</f>
        <v/>
      </c>
      <c r="AG8" s="258" t="n">
        <v>0.02</v>
      </c>
      <c r="AH8" s="259">
        <f>IF(OR(G8="",AG8=""),"",G8*AG8)</f>
        <v/>
      </c>
      <c r="AI8" s="259" t="n"/>
      <c r="AJ8" s="259">
        <f>IF(X8="","",X8+IF(OR(AA8="",M8=""),0,AA8/M8)+SUM(AB8:AF8)+IF(AH8="",0,AH8)+IF(AI8="",0,AI8))</f>
        <v/>
      </c>
      <c r="AK8" s="259">
        <f>IF(X8="","",0.13*X8/1.13)</f>
        <v/>
      </c>
      <c r="AL8" s="259">
        <f>IF(OR(G8="",AJ8=""),"",G8+AK8-AJ8)</f>
        <v/>
      </c>
      <c r="AM8" s="258">
        <f>IF(OR(AL8="",G8=""),"",AL8/G8)</f>
        <v/>
      </c>
      <c r="AN8" s="261">
        <f>IF(OR(X8="",H8=""),"",X8/H8)</f>
        <v/>
      </c>
      <c r="AO8" s="262" t="n"/>
      <c r="AP8" s="263">
        <f>AA8</f>
        <v/>
      </c>
      <c r="AQ8" s="262">
        <f>IF(OR(S8="",R8="",参数!$B$23=""),"",IF(S8="小标准",IFERROR(INDEX(FBA规则!$B$58:$C$65,MATCH(N8*FBA规则!$B$6*16,FBA规则!$A$58:$A$65,1),IF(参数!$B$23="旺季",2,1)),INDEX(FBA规则!$B$65:$C$65,1,IF(参数!$B$23="旺季",2,1))),IF(S8="大标准",IF(R8&lt;=3,IFERROR(INDEX(FBA规则!$B$35:$C$46,MATCH(R8,FBA规则!$A$35:$A$46,1),IF(参数!$B$23="旺季",2,1)),INDEX(FBA规则!$B$46:$C$46,1,IF(参数!$B$23="旺季",2,1))),INDEX(FBA规则!$B$47:$C$47,1,IF(参数!$B$23="旺季",2,1))+FBA规则!$D$47*CEILING((R8-3)*4,1)),IF(S8="大件",INDEX(FBA规则!$B$50:$C$50,1,IF(参数!$B$23="旺季",2,1))+FBA规则!$D$50*MAX(0,CEILING(R8,1)-1),IF(S8="超大0-50lb",INDEX(FBA规则!$B$51:$C$51,1,IF(参数!$B$23="旺季",2,1))+FBA规则!$D$51*MAX(0,CEILING(R8,1)-1),IF(S8="超大50-70lb",INDEX(FBA规则!$B$52:$C$52,1,IF(参数!$B$23="旺季",2,1))+FBA规则!$D$52*MAX(0,R8-FBA规则!$F$52),IF(S8="超大70-150lb",INDEX(FBA规则!$B$53:$C$53,1,IF(参数!$B$23="旺季",2,1))+FBA规则!$D$53*MAX(0,R8-FBA规则!$F$53),INDEX(FBA规则!$B$54:$C$54,1,IF(参数!$B$23="旺季",2,1))+FBA规则!$D$54*MAX(0,R8-FBA规则!$F$54))))))))</f>
        <v/>
      </c>
      <c r="AR8" s="262">
        <f>IF(OR(H8="",I8=""),"",H8*I8)</f>
        <v/>
      </c>
      <c r="AS8" s="262">
        <f>IF(OR(H8="",J8=""),"",H8*J8)</f>
        <v/>
      </c>
      <c r="AT8" s="223">
        <f>IF(OR(H8="",K8=""),"",H8*K8)</f>
        <v/>
      </c>
      <c r="AU8" s="223">
        <f>IF(OR(H8="",L8=""),"",H8*L8)</f>
        <v/>
      </c>
      <c r="AV8" s="224" t="n">
        <v>0.02</v>
      </c>
      <c r="AW8" s="223">
        <f>IF(OR(H8="",AV8=""),"",H8*AV8)</f>
        <v/>
      </c>
      <c r="AX8" s="225" t="n"/>
      <c r="AY8" s="223">
        <f>IF(X8="","",X8+IF(OR(AP8="",M8=""),0,AP8/M8)+SUM(AQ8:AU8)+IF(AW8="",0,AW8)+IF(AX8="",0,AX8))</f>
        <v/>
      </c>
      <c r="AZ8" s="223">
        <f>IF(X8="","",0.13*X8/1.13)</f>
        <v/>
      </c>
      <c r="BA8" s="223">
        <f>IF(OR(H8="",AY8=""),"",H8+AZ8-AY8)</f>
        <v/>
      </c>
      <c r="BB8" s="224">
        <f>IF(OR(BA8="",H8=""),"",BA8/H8)</f>
        <v/>
      </c>
      <c r="BC8" s="223">
        <f>IF(OR(H8="",AY8=""),"",H8-AY8)</f>
        <v/>
      </c>
      <c r="BD8" s="224">
        <f>IF(OR(BC8="",H8=""),"",BC8/H8)</f>
        <v/>
      </c>
      <c r="BE8" s="205" t="inlineStr">
        <is>
          <t>义乌</t>
        </is>
      </c>
      <c r="BF8" s="231" t="inlineStr">
        <is>
          <t>ABE8</t>
        </is>
      </c>
      <c r="BG8" s="205" t="inlineStr">
        <is>
          <t>海运</t>
        </is>
      </c>
      <c r="BH8" s="226" t="inlineStr">
        <is>
          <t>（最低价）</t>
        </is>
      </c>
      <c r="BI8" s="227">
        <f>IF(OR(BE8="",BF8=""),"",IF(AND(BH8&lt;&gt;"",BH8&lt;&gt;"（最低价）"),IFERROR(IF(SUMIFS(海运报价!$F$2:$F$2000,海运报价!$C$2:$C$2000,BH8,海运报价!$D$2:$D$2000,BE8,海运报价!$E$2:$E$2000,BF8)=0,"",SUMIFS(海运报价!$F$2:$F$2000,海运报价!$C$2:$C$2000,BH8,海运报价!$D$2:$D$2000,BE8,海运报价!$E$2:$E$2000,BF8)),""),IFERROR(IF(SUMIFS(海运下拉!$H$2:$H$311,海运下拉!$F$2:$F$311,BE8,海运下拉!$G$2:$G$311,BF8)=0,"",SUMIFS(海运下拉!$H$2:$H$311,海运下拉!$F$2:$F$311,BE8,海运下拉!$G$2:$G$311,BF8)),"")))</f>
        <v/>
      </c>
      <c r="BJ8" s="227">
        <f>IF(C8="","",VLOOKUP($C8,箱规!$A$2:$S$23,18,FALSE))</f>
        <v/>
      </c>
      <c r="BK8" s="228">
        <f>IF(OR(BI8="",BJ8=""),"",BJ8*(BI8+IF(AND(BH8&lt;&gt;"",BH8&lt;&gt;"（最低价）"),IFERROR(AVERAGEIFS(海运报价!$H$2:$H$2000,海运报价!$C$2:$C$2000,BH8,海运报价!$D$2:$D$2000,BE8,海运报价!$E$2:$E$2000,BF8),0),IFERROR(SUMIFS(海运下拉!$J$2:$J$311,海运下拉!$F$2:$F$311,BE8,海运下拉!$G$2:$G$311,BF8),0))))</f>
        <v/>
      </c>
      <c r="BL8" s="247" t="n"/>
      <c r="BM8" s="229">
        <f>IF(OR(BE8="",BF8=""),"请选起运地+FBA仓",IF(AND(AND(BH8&lt;&gt;"",BH8&lt;&gt;"（最低价）"),BI8=""),"⚠该渠道不服务此仓：请重选渠道，或选「（最低价）」",IF(BI8="","无报价：请换起运地/仓库",IF(AND(BH8&lt;&gt;"",BH8&lt;&gt;"（最低价）"),"按你选的渠道「"&amp;BH8&amp;"」计价","按最低价「"&amp;IFERROR(SUMIFS(海运下拉!$I$2:$I$311,海运下拉!$F$2:$F$311,BE8,海运下拉!$G$2:$G$311,BF8),"")&amp;"」（渠道默认最低价）"))))</f>
        <v/>
      </c>
      <c r="BO8" s="1">
        <f>IF(OR($BE8="",$BF8=""),"",IFERROR(INDEX(海运报价!$C$2:$C$2000,AGGREGATE(15,6,(ROW(海运报价!$C$2:$C$2000)-ROW(海运报价!$C$2)+1)/((海运报价!$D$2:$D$2000=$BE8)*(海运报价!$E$2:$E$2000=$BF8)),1)),""))</f>
        <v/>
      </c>
      <c r="BP8" s="1">
        <f>IF(OR($BE8="",$BF8=""),"",IFERROR(INDEX(海运报价!$C$2:$C$2000,AGGREGATE(15,6,(ROW(海运报价!$C$2:$C$2000)-ROW(海运报价!$C$2)+1)/((海运报价!$D$2:$D$2000=$BE8)*(海运报价!$E$2:$E$2000=$BF8)),2)),""))</f>
        <v/>
      </c>
      <c r="BQ8" s="1">
        <f>IF(OR($BE8="",$BF8=""),"",IFERROR(INDEX(海运报价!$C$2:$C$2000,AGGREGATE(15,6,(ROW(海运报价!$C$2:$C$2000)-ROW(海运报价!$C$2)+1)/((海运报价!$D$2:$D$2000=$BE8)*(海运报价!$E$2:$E$2000=$BF8)),3)),""))</f>
        <v/>
      </c>
      <c r="BR8" s="1">
        <f>IF(OR($BE8="",$BF8=""),"",IFERROR(INDEX(海运报价!$C$2:$C$2000,AGGREGATE(15,6,(ROW(海运报价!$C$2:$C$2000)-ROW(海运报价!$C$2)+1)/((海运报价!$D$2:$D$2000=$BE8)*(海运报价!$E$2:$E$2000=$BF8)),4)),""))</f>
        <v/>
      </c>
      <c r="BS8" s="1">
        <f>IF(OR($BE8="",$BF8=""),"",IFERROR(INDEX(海运报价!$C$2:$C$2000,AGGREGATE(15,6,(ROW(海运报价!$C$2:$C$2000)-ROW(海运报价!$C$2)+1)/((海运报价!$D$2:$D$2000=$BE8)*(海运报价!$E$2:$E$2000=$BF8)),5)),""))</f>
        <v/>
      </c>
      <c r="BT8" s="1">
        <f>IF(OR($BE8="",$BF8=""),"",IFERROR(INDEX(海运报价!$C$2:$C$2000,AGGREGATE(15,6,(ROW(海运报价!$C$2:$C$2000)-ROW(海运报价!$C$2)+1)/((海运报价!$D$2:$D$2000=$BE8)*(海运报价!$E$2:$E$2000=$BF8)),6)),""))</f>
        <v/>
      </c>
      <c r="BU8" s="1">
        <f>IF(OR($BE8="",$BF8=""),"",IFERROR(INDEX(海运报价!$C$2:$C$2000,AGGREGATE(15,6,(ROW(海运报价!$C$2:$C$2000)-ROW(海运报价!$C$2)+1)/((海运报价!$D$2:$D$2000=$BE8)*(海运报价!$E$2:$E$2000=$BF8)),7)),""))</f>
        <v/>
      </c>
      <c r="BV8" s="1">
        <f>IF(OR($BE8="",$BF8=""),"",IFERROR(INDEX(海运报价!$C$2:$C$2000,AGGREGATE(15,6,(ROW(海运报价!$C$2:$C$2000)-ROW(海运报价!$C$2)+1)/((海运报价!$D$2:$D$2000=$BE8)*(海运报价!$E$2:$E$2000=$BF8)),8)),""))</f>
        <v/>
      </c>
      <c r="BW8" s="1">
        <f>IF(OR($BE8="",$BF8=""),"",IFERROR(INDEX(海运报价!$C$2:$C$2000,AGGREGATE(15,6,(ROW(海运报价!$C$2:$C$2000)-ROW(海运报价!$C$2)+1)/((海运报价!$D$2:$D$2000=$BE8)*(海运报价!$E$2:$E$2000=$BF8)),9)),""))</f>
        <v/>
      </c>
      <c r="BX8" s="1">
        <f>IF(OR($BE8="",$BF8=""),"",IFERROR(INDEX(海运报价!$C$2:$C$2000,AGGREGATE(15,6,(ROW(海运报价!$C$2:$C$2000)-ROW(海运报价!$C$2)+1)/((海运报价!$D$2:$D$2000=$BE8)*(海运报价!$E$2:$E$2000=$BF8)),10)),""))</f>
        <v/>
      </c>
      <c r="BY8" s="1">
        <f>IF(OR($BE8="",$BF8=""),"",IFERROR(INDEX(海运报价!$C$2:$C$2000,AGGREGATE(15,6,(ROW(海运报价!$C$2:$C$2000)-ROW(海运报价!$C$2)+1)/((海运报价!$D$2:$D$2000=$BE8)*(海运报价!$E$2:$E$2000=$BF8)),11)),""))</f>
        <v/>
      </c>
      <c r="BZ8" s="1">
        <f>IF(OR($BE8="",$BF8=""),"",IFERROR(INDEX(海运报价!$C$2:$C$2000,AGGREGATE(15,6,(ROW(海运报价!$C$2:$C$2000)-ROW(海运报价!$C$2)+1)/((海运报价!$D$2:$D$2000=$BE8)*(海运报价!$E$2:$E$2000=$BF8)),12)),""))</f>
        <v/>
      </c>
      <c r="CA8" s="1">
        <f>IF(OR($BE8="",$BF8=""),"",IFERROR(INDEX(海运报价!$C$2:$C$2000,AGGREGATE(15,6,(ROW(海运报价!$C$2:$C$2000)-ROW(海运报价!$C$2)+1)/((海运报价!$D$2:$D$2000=$BE8)*(海运报价!$E$2:$E$2000=$BF8)),13)),""))</f>
        <v/>
      </c>
      <c r="CB8" s="1">
        <f>IF(OR($BE8="",$BF8=""),"",IFERROR(INDEX(海运报价!$C$2:$C$2000,AGGREGATE(15,6,(ROW(海运报价!$C$2:$C$2000)-ROW(海运报价!$C$2)+1)/((海运报价!$D$2:$D$2000=$BE8)*(海运报价!$E$2:$E$2000=$BF8)),14)),""))</f>
        <v/>
      </c>
      <c r="CC8" s="1">
        <f>IF(OR($BE8="",$BF8=""),"",IFERROR(INDEX(海运报价!$C$2:$C$2000,AGGREGATE(15,6,(ROW(海运报价!$C$2:$C$2000)-ROW(海运报价!$C$2)+1)/((海运报价!$D$2:$D$2000=$BE8)*(海运报价!$E$2:$E$2000=$BF8)),15)),""))</f>
        <v/>
      </c>
      <c r="CD8" s="119">
        <f>IF(OR(X8="",M8=""),"",X8+IF(OR(AA8="",M8=""),0,AA8/M8)+IF(AB8="",0,AB8)+IF(AI8="",0,AI8)+IF(Z8="",0,Z8))</f>
        <v/>
      </c>
      <c r="CE8" s="142">
        <f>I8+J8+K8+L8+AG8</f>
        <v/>
      </c>
    </row>
    <row r="9" ht="14.1" customHeight="1" s="67">
      <c r="B9" s="231" t="n"/>
      <c r="C9" s="231" t="inlineStr">
        <is>
          <t>3'5'</t>
        </is>
      </c>
      <c r="D9" s="206">
        <f>IF(C9="","",VLOOKUP($C9,箱规!$A$2:$S$23,9,FALSE))</f>
        <v/>
      </c>
      <c r="E9" s="231" t="n"/>
      <c r="F9" s="180" t="n"/>
      <c r="G9" s="170">
        <f>IF(OR(CD9="",CE9="",CE9&gt;=1,X9=""),"",ROUNDUP((CD9-0.13*X9/1.13)/(1-CE9),2))</f>
        <v/>
      </c>
      <c r="H9" s="169">
        <f>IF(OR(CD9="",CE9="",X9=""),"",IF((1-CE9-参数!$B$16)&lt;=0,"费率过高",ROUND((CD9-0.13*X9/1.13)/(1-CE9-参数!$B$16),2)))</f>
        <v/>
      </c>
      <c r="I9" s="264" t="n">
        <v>0.15</v>
      </c>
      <c r="J9" s="264" t="n">
        <v>0.07000000000000001</v>
      </c>
      <c r="K9" s="264" t="n">
        <v>0.15</v>
      </c>
      <c r="L9" s="264" t="n">
        <v>0.01</v>
      </c>
      <c r="M9" s="265">
        <f>参数!$B$2</f>
        <v/>
      </c>
      <c r="N9" s="227">
        <f>IF(C9="","",VLOOKUP($C9,箱规!$A$2:$S$23,14,FALSE))</f>
        <v/>
      </c>
      <c r="O9" s="227">
        <f>IF(C9="","",VLOOKUP($C9,箱规!$A$2:$S$23,5,FALSE))</f>
        <v/>
      </c>
      <c r="P9" s="227">
        <f>IF(C9="","",VLOOKUP($C9,箱规!$A$2:$S$23,6,FALSE))</f>
        <v/>
      </c>
      <c r="Q9" s="227">
        <f>IF(C9="","",VLOOKUP($C9,箱规!$A$2:$S$23,7,FALSE))</f>
        <v/>
      </c>
      <c r="R9" s="279">
        <f>IF(OR(N9="",O9="",P9="",Q9=""),"",MAX(N9*FBA规则!$B$6,(O9/FBA规则!$B$5)*(P9/FBA规则!$B$5)*(Q9/FBA规则!$B$5)/FBA规则!$B$7))</f>
        <v/>
      </c>
      <c r="S9" s="280">
        <f>IF(R9="","",IF(AND(N9*FBA规则!$B$6&lt;=1,MAX(O9,P9,Q9)/FBA规则!$B$5&lt;=15,MEDIAN(O9,P9,Q9)/FBA规则!$B$5&lt;=12,MIN(O9,P9,Q9)/FBA规则!$B$5&lt;=0.75),"小标准",IF(AND(R9&lt;=20,MAX(O9,P9,Q9)/FBA规则!$B$5&lt;=18,MEDIAN(O9,P9,Q9)/FBA规则!$B$5&lt;=14,MIN(O9,P9,Q9)/FBA规则!$B$5&lt;=8),"大标准",IF(AND(R9&lt;=50,MAX(O9,P9,Q9)/FBA规则!$B$5&lt;=59,MEDIAN(O9,P9,Q9)/FBA规则!$B$5&lt;=33,MIN(O9,P9,Q9)/FBA规则!$B$5&lt;=33,T9&lt;=130),"大件",IF(R9&lt;=50,"超大0-50lb",IF(R9&lt;=70,"超大50-70lb",IF(R9&lt;=150,"超大70-150lb","超大150lb+")))))))</f>
        <v/>
      </c>
      <c r="T9" s="279">
        <f>IF(OR(O9="",P9="",Q9=""),"",MAX(O9,P9,Q9)/FBA规则!$B$5+2*((MEDIAN(O9,P9,Q9)+MIN(O9,P9,Q9))/FBA规则!$B$5))</f>
        <v/>
      </c>
      <c r="U9" s="267">
        <f>参数!$B$15</f>
        <v/>
      </c>
      <c r="V9" s="268">
        <f>IF(OR(C9="",U9=""),"",(IF(OR(VLOOKUP($C9,箱规!$A$2:$S$23,4,FALSE)="",VLOOKUP($C9,箱规!$A$2:$S$23,4,FALSE)=0),VLOOKUP($C9,箱规!$A$2:$S$23,2,FALSE)*VLOOKUP($C9,箱规!$A$2:$S$23,3,FALSE)/10000,VLOOKUP($C9,箱规!$A$2:$S$23,4,FALSE)))*U9)</f>
        <v/>
      </c>
      <c r="W9" s="269" t="n"/>
      <c r="X9" s="270">
        <f>IF(AND(V9&lt;&gt;"",M9&lt;&gt;""),V9/M9,IF(AND(W9&lt;&gt;"",M9&lt;&gt;""),W9*1.13/M9,""))</f>
        <v/>
      </c>
      <c r="Y9" s="271">
        <f>IF(OR(X9="",G9=""),"",X9/G9)</f>
        <v/>
      </c>
      <c r="Z9" s="272" t="n"/>
      <c r="AA9" s="273">
        <f>IF(OR(D9="",D9=0),"",IF(BG9="陆运",IF(BL9="",0,BL9)/D9,IF(BG9="海运",IF(BK9="",0,BK9)/D9,IF(BG9="海运+陆运",(IF(BK9="",0,BK9)+IF(BL9="",0,BL9))/D9,IF(BK9="",0,BK9)/D9))))</f>
        <v/>
      </c>
      <c r="AB9" s="274">
        <f>IF(OR(S9="",R9="",参数!$B$23=""),"",IF(S9="小标准",IFERROR(INDEX(FBA规则!$B$58:$C$65,MATCH(N9*FBA规则!$B$6*16,FBA规则!$A$58:$A$65,1),IF(参数!$B$23="旺季",2,1)),INDEX(FBA规则!$B$65:$C$65,1,IF(参数!$B$23="旺季",2,1))),IF(S9="大标准",IF(R9&lt;=3,IFERROR(INDEX(FBA规则!$B$35:$C$46,MATCH(R9,FBA规则!$A$35:$A$46,1),IF(参数!$B$23="旺季",2,1)),INDEX(FBA规则!$B$46:$C$46,1,IF(参数!$B$23="旺季",2,1))),INDEX(FBA规则!$B$47:$C$47,1,IF(参数!$B$23="旺季",2,1))+FBA规则!$D$47*CEILING((R9-3)*4,1)),IF(S9="大件",INDEX(FBA规则!$B$50:$C$50,1,IF(参数!$B$23="旺季",2,1))+FBA规则!$D$50*MAX(0,CEILING(R9,1)-1),IF(S9="超大0-50lb",INDEX(FBA规则!$B$51:$C$51,1,IF(参数!$B$23="旺季",2,1))+FBA规则!$D$51*MAX(0,CEILING(R9,1)-1),IF(S9="超大50-70lb",INDEX(FBA规则!$B$52:$C$52,1,IF(参数!$B$23="旺季",2,1))+FBA规则!$D$52*MAX(0,R9-FBA规则!$F$52),IF(S9="超大70-150lb",INDEX(FBA规则!$B$53:$C$53,1,IF(参数!$B$23="旺季",2,1))+FBA规则!$D$53*MAX(0,R9-FBA规则!$F$53),INDEX(FBA规则!$B$54:$C$54,1,IF(参数!$B$23="旺季",2,1))+FBA规则!$D$54*MAX(0,R9-FBA规则!$F$54))))))))</f>
        <v/>
      </c>
      <c r="AC9" s="274">
        <f>IF(OR(G9="",I9=""),"",G9*I9)</f>
        <v/>
      </c>
      <c r="AD9" s="274">
        <f>IF(OR(G9="",J9=""),"",G9*J9)</f>
        <v/>
      </c>
      <c r="AE9" s="274">
        <f>IF(OR(G9="",K9=""),"",G9*K9)</f>
        <v/>
      </c>
      <c r="AF9" s="274">
        <f>IF(OR(G9="",L9=""),"",G9*L9)</f>
        <v/>
      </c>
      <c r="AG9" s="271" t="n">
        <v>0.02</v>
      </c>
      <c r="AH9" s="274">
        <f>IF(OR(G9="",AG9=""),"",G9*AG9)</f>
        <v/>
      </c>
      <c r="AI9" s="272" t="n"/>
      <c r="AJ9" s="274">
        <f>IF(X9="","",X9+IF(OR(AA9="",M9=""),0,AA9/M9)+SUM(AB9:AF9)+IF(AH9="",0,AH9)+IF(AI9="",0,AI9))</f>
        <v/>
      </c>
      <c r="AK9" s="274">
        <f>IF(X9="","",0.13*X9/1.13)</f>
        <v/>
      </c>
      <c r="AL9" s="274">
        <f>IF(OR(G9="",AJ9=""),"",G9+AK9-AJ9)</f>
        <v/>
      </c>
      <c r="AM9" s="271">
        <f>IF(OR(AL9="",G9=""),"",AL9/G9)</f>
        <v/>
      </c>
      <c r="AN9" s="224">
        <f>IF(OR(X9="",H9=""),"",X9/H9)</f>
        <v/>
      </c>
      <c r="AO9" s="225" t="n"/>
      <c r="AP9" s="275">
        <f>AA9</f>
        <v/>
      </c>
      <c r="AQ9" s="223">
        <f>IF(OR(S9="",R9="",参数!$B$23=""),"",IF(S9="小标准",IFERROR(INDEX(FBA规则!$B$58:$C$65,MATCH(N9*FBA规则!$B$6*16,FBA规则!$A$58:$A$65,1),IF(参数!$B$23="旺季",2,1)),INDEX(FBA规则!$B$65:$C$65,1,IF(参数!$B$23="旺季",2,1))),IF(S9="大标准",IF(R9&lt;=3,IFERROR(INDEX(FBA规则!$B$35:$C$46,MATCH(R9,FBA规则!$A$35:$A$46,1),IF(参数!$B$23="旺季",2,1)),INDEX(FBA规则!$B$46:$C$46,1,IF(参数!$B$23="旺季",2,1))),INDEX(FBA规则!$B$47:$C$47,1,IF(参数!$B$23="旺季",2,1))+FBA规则!$D$47*CEILING((R9-3)*4,1)),IF(S9="大件",INDEX(FBA规则!$B$50:$C$50,1,IF(参数!$B$23="旺季",2,1))+FBA规则!$D$50*MAX(0,CEILING(R9,1)-1),IF(S9="超大0-50lb",INDEX(FBA规则!$B$51:$C$51,1,IF(参数!$B$23="旺季",2,1))+FBA规则!$D$51*MAX(0,CEILING(R9,1)-1),IF(S9="超大50-70lb",INDEX(FBA规则!$B$52:$C$52,1,IF(参数!$B$23="旺季",2,1))+FBA规则!$D$52*MAX(0,R9-FBA规则!$F$52),IF(S9="超大70-150lb",INDEX(FBA规则!$B$53:$C$53,1,IF(参数!$B$23="旺季",2,1))+FBA规则!$D$53*MAX(0,R9-FBA规则!$F$53),INDEX(FBA规则!$B$54:$C$54,1,IF(参数!$B$23="旺季",2,1))+FBA规则!$D$54*MAX(0,R9-FBA规则!$F$54))))))))</f>
        <v/>
      </c>
      <c r="AR9" s="223">
        <f>IF(OR(H9="",I9=""),"",H9*I9)</f>
        <v/>
      </c>
      <c r="AS9" s="223">
        <f>IF(OR(H9="",J9=""),"",H9*J9)</f>
        <v/>
      </c>
      <c r="AT9" s="223">
        <f>IF(OR(H9="",K9=""),"",H9*K9)</f>
        <v/>
      </c>
      <c r="AU9" s="223">
        <f>IF(OR(H9="",L9=""),"",H9*L9)</f>
        <v/>
      </c>
      <c r="AV9" s="224" t="n">
        <v>0.02</v>
      </c>
      <c r="AW9" s="223">
        <f>IF(OR(H9="",AV9=""),"",H9*AV9)</f>
        <v/>
      </c>
      <c r="AX9" s="225" t="n"/>
      <c r="AY9" s="223">
        <f>IF(X9="","",X9+IF(OR(AP9="",M9=""),0,AP9/M9)+SUM(AQ9:AU9)+IF(AW9="",0,AW9)+IF(AX9="",0,AX9))</f>
        <v/>
      </c>
      <c r="AZ9" s="223">
        <f>IF(X9="","",0.13*X9/1.13)</f>
        <v/>
      </c>
      <c r="BA9" s="223">
        <f>IF(OR(H9="",AY9=""),"",H9+AZ9-AY9)</f>
        <v/>
      </c>
      <c r="BB9" s="224">
        <f>IF(OR(BA9="",H9=""),"",BA9/H9)</f>
        <v/>
      </c>
      <c r="BC9" s="223">
        <f>IF(OR(H9="",AY9=""),"",H9-AY9)</f>
        <v/>
      </c>
      <c r="BD9" s="224">
        <f>IF(OR(BC9="",H9=""),"",BC9/H9)</f>
        <v/>
      </c>
      <c r="BE9" s="205" t="inlineStr">
        <is>
          <t>义乌</t>
        </is>
      </c>
      <c r="BF9" s="231" t="inlineStr">
        <is>
          <t>ABE8</t>
        </is>
      </c>
      <c r="BG9" s="205" t="inlineStr">
        <is>
          <t>海运</t>
        </is>
      </c>
      <c r="BH9" s="226" t="inlineStr">
        <is>
          <t>（最低价）</t>
        </is>
      </c>
      <c r="BI9" s="227">
        <f>IF(OR(BE9="",BF9=""),"",IF(AND(BH9&lt;&gt;"",BH9&lt;&gt;"（最低价）"),IFERROR(IF(SUMIFS(海运报价!$F$2:$F$2000,海运报价!$C$2:$C$2000,BH9,海运报价!$D$2:$D$2000,BE9,海运报价!$E$2:$E$2000,BF9)=0,"",SUMIFS(海运报价!$F$2:$F$2000,海运报价!$C$2:$C$2000,BH9,海运报价!$D$2:$D$2000,BE9,海运报价!$E$2:$E$2000,BF9)),""),IFERROR(IF(SUMIFS(海运下拉!$H$2:$H$311,海运下拉!$F$2:$F$311,BE9,海运下拉!$G$2:$G$311,BF9)=0,"",SUMIFS(海运下拉!$H$2:$H$311,海运下拉!$F$2:$F$311,BE9,海运下拉!$G$2:$G$311,BF9)),"")))</f>
        <v/>
      </c>
      <c r="BJ9" s="227">
        <f>IF(C9="","",VLOOKUP($C9,箱规!$A$2:$S$23,18,FALSE))</f>
        <v/>
      </c>
      <c r="BK9" s="228">
        <f>IF(OR(BI9="",BJ9=""),"",BJ9*(BI9+IF(AND(BH9&lt;&gt;"",BH9&lt;&gt;"（最低价）"),IFERROR(AVERAGEIFS(海运报价!$H$2:$H$2000,海运报价!$C$2:$C$2000,BH9,海运报价!$D$2:$D$2000,BE9,海运报价!$E$2:$E$2000,BF9),0),IFERROR(SUMIFS(海运下拉!$J$2:$J$311,海运下拉!$F$2:$F$311,BE9,海运下拉!$G$2:$G$311,BF9),0))))</f>
        <v/>
      </c>
      <c r="BL9" s="247" t="n"/>
      <c r="BM9" s="229">
        <f>IF(OR(BE9="",BF9=""),"请选起运地+FBA仓",IF(AND(AND(BH9&lt;&gt;"",BH9&lt;&gt;"（最低价）"),BI9=""),"⚠该渠道不服务此仓：请重选渠道，或选「（最低价）」",IF(BI9="","无报价：请换起运地/仓库",IF(AND(BH9&lt;&gt;"",BH9&lt;&gt;"（最低价）"),"按你选的渠道「"&amp;BH9&amp;"」计价","按最低价「"&amp;IFERROR(SUMIFS(海运下拉!$I$2:$I$311,海运下拉!$F$2:$F$311,BE9,海运下拉!$G$2:$G$311,BF9),"")&amp;"」（渠道默认最低价）"))))</f>
        <v/>
      </c>
      <c r="BO9" s="1">
        <f>IF(OR($BE9="",$BF9=""),"",IFERROR(INDEX(海运报价!$C$2:$C$2000,AGGREGATE(15,6,(ROW(海运报价!$C$2:$C$2000)-ROW(海运报价!$C$2)+1)/((海运报价!$D$2:$D$2000=$BE9)*(海运报价!$E$2:$E$2000=$BF9)),1)),""))</f>
        <v/>
      </c>
      <c r="BP9" s="1">
        <f>IF(OR($BE9="",$BF9=""),"",IFERROR(INDEX(海运报价!$C$2:$C$2000,AGGREGATE(15,6,(ROW(海运报价!$C$2:$C$2000)-ROW(海运报价!$C$2)+1)/((海运报价!$D$2:$D$2000=$BE9)*(海运报价!$E$2:$E$2000=$BF9)),2)),""))</f>
        <v/>
      </c>
      <c r="BQ9" s="1">
        <f>IF(OR($BE9="",$BF9=""),"",IFERROR(INDEX(海运报价!$C$2:$C$2000,AGGREGATE(15,6,(ROW(海运报价!$C$2:$C$2000)-ROW(海运报价!$C$2)+1)/((海运报价!$D$2:$D$2000=$BE9)*(海运报价!$E$2:$E$2000=$BF9)),3)),""))</f>
        <v/>
      </c>
      <c r="BR9" s="1">
        <f>IF(OR($BE9="",$BF9=""),"",IFERROR(INDEX(海运报价!$C$2:$C$2000,AGGREGATE(15,6,(ROW(海运报价!$C$2:$C$2000)-ROW(海运报价!$C$2)+1)/((海运报价!$D$2:$D$2000=$BE9)*(海运报价!$E$2:$E$2000=$BF9)),4)),""))</f>
        <v/>
      </c>
      <c r="BS9" s="1">
        <f>IF(OR($BE9="",$BF9=""),"",IFERROR(INDEX(海运报价!$C$2:$C$2000,AGGREGATE(15,6,(ROW(海运报价!$C$2:$C$2000)-ROW(海运报价!$C$2)+1)/((海运报价!$D$2:$D$2000=$BE9)*(海运报价!$E$2:$E$2000=$BF9)),5)),""))</f>
        <v/>
      </c>
      <c r="BT9" s="1">
        <f>IF(OR($BE9="",$BF9=""),"",IFERROR(INDEX(海运报价!$C$2:$C$2000,AGGREGATE(15,6,(ROW(海运报价!$C$2:$C$2000)-ROW(海运报价!$C$2)+1)/((海运报价!$D$2:$D$2000=$BE9)*(海运报价!$E$2:$E$2000=$BF9)),6)),""))</f>
        <v/>
      </c>
      <c r="BU9" s="1">
        <f>IF(OR($BE9="",$BF9=""),"",IFERROR(INDEX(海运报价!$C$2:$C$2000,AGGREGATE(15,6,(ROW(海运报价!$C$2:$C$2000)-ROW(海运报价!$C$2)+1)/((海运报价!$D$2:$D$2000=$BE9)*(海运报价!$E$2:$E$2000=$BF9)),7)),""))</f>
        <v/>
      </c>
      <c r="BV9" s="1">
        <f>IF(OR($BE9="",$BF9=""),"",IFERROR(INDEX(海运报价!$C$2:$C$2000,AGGREGATE(15,6,(ROW(海运报价!$C$2:$C$2000)-ROW(海运报价!$C$2)+1)/((海运报价!$D$2:$D$2000=$BE9)*(海运报价!$E$2:$E$2000=$BF9)),8)),""))</f>
        <v/>
      </c>
      <c r="BW9" s="1">
        <f>IF(OR($BE9="",$BF9=""),"",IFERROR(INDEX(海运报价!$C$2:$C$2000,AGGREGATE(15,6,(ROW(海运报价!$C$2:$C$2000)-ROW(海运报价!$C$2)+1)/((海运报价!$D$2:$D$2000=$BE9)*(海运报价!$E$2:$E$2000=$BF9)),9)),""))</f>
        <v/>
      </c>
      <c r="BX9" s="1">
        <f>IF(OR($BE9="",$BF9=""),"",IFERROR(INDEX(海运报价!$C$2:$C$2000,AGGREGATE(15,6,(ROW(海运报价!$C$2:$C$2000)-ROW(海运报价!$C$2)+1)/((海运报价!$D$2:$D$2000=$BE9)*(海运报价!$E$2:$E$2000=$BF9)),10)),""))</f>
        <v/>
      </c>
      <c r="BY9" s="1">
        <f>IF(OR($BE9="",$BF9=""),"",IFERROR(INDEX(海运报价!$C$2:$C$2000,AGGREGATE(15,6,(ROW(海运报价!$C$2:$C$2000)-ROW(海运报价!$C$2)+1)/((海运报价!$D$2:$D$2000=$BE9)*(海运报价!$E$2:$E$2000=$BF9)),11)),""))</f>
        <v/>
      </c>
      <c r="BZ9" s="1">
        <f>IF(OR($BE9="",$BF9=""),"",IFERROR(INDEX(海运报价!$C$2:$C$2000,AGGREGATE(15,6,(ROW(海运报价!$C$2:$C$2000)-ROW(海运报价!$C$2)+1)/((海运报价!$D$2:$D$2000=$BE9)*(海运报价!$E$2:$E$2000=$BF9)),12)),""))</f>
        <v/>
      </c>
      <c r="CA9" s="1">
        <f>IF(OR($BE9="",$BF9=""),"",IFERROR(INDEX(海运报价!$C$2:$C$2000,AGGREGATE(15,6,(ROW(海运报价!$C$2:$C$2000)-ROW(海运报价!$C$2)+1)/((海运报价!$D$2:$D$2000=$BE9)*(海运报价!$E$2:$E$2000=$BF9)),13)),""))</f>
        <v/>
      </c>
      <c r="CB9" s="1">
        <f>IF(OR($BE9="",$BF9=""),"",IFERROR(INDEX(海运报价!$C$2:$C$2000,AGGREGATE(15,6,(ROW(海运报价!$C$2:$C$2000)-ROW(海运报价!$C$2)+1)/((海运报价!$D$2:$D$2000=$BE9)*(海运报价!$E$2:$E$2000=$BF9)),14)),""))</f>
        <v/>
      </c>
      <c r="CC9" s="1">
        <f>IF(OR($BE9="",$BF9=""),"",IFERROR(INDEX(海运报价!$C$2:$C$2000,AGGREGATE(15,6,(ROW(海运报价!$C$2:$C$2000)-ROW(海运报价!$C$2)+1)/((海运报价!$D$2:$D$2000=$BE9)*(海运报价!$E$2:$E$2000=$BF9)),15)),""))</f>
        <v/>
      </c>
      <c r="CD9" s="119">
        <f>IF(OR(X9="",M9=""),"",X9+IF(OR(AA9="",M9=""),0,AA9/M9)+IF(AB9="",0,AB9)+IF(AI9="",0,AI9)+IF(Z9="",0,Z9))</f>
        <v/>
      </c>
      <c r="CE9" s="142">
        <f>I9+J9+K9+L9+AG9</f>
        <v/>
      </c>
    </row>
    <row r="10" ht="14.1" customHeight="1" s="67">
      <c r="B10" s="231" t="n"/>
      <c r="C10" s="231" t="inlineStr">
        <is>
          <t>4'6'</t>
        </is>
      </c>
      <c r="D10" s="206">
        <f>IF(C10="","",VLOOKUP($C10,箱规!$A$2:$S$23,9,FALSE))</f>
        <v/>
      </c>
      <c r="E10" s="231" t="n"/>
      <c r="F10" s="180" t="n"/>
      <c r="G10" s="170">
        <f>IF(OR(CD10="",CE10="",CE10&gt;=1,X10=""),"",ROUNDUP((CD10-0.13*X10/1.13)/(1-CE10),2))</f>
        <v/>
      </c>
      <c r="H10" s="169">
        <f>IF(OR(CD10="",CE10="",X10=""),"",IF((1-CE10-参数!$B$16)&lt;=0,"费率过高",ROUND((CD10-0.13*X10/1.13)/(1-CE10-参数!$B$16),2)))</f>
        <v/>
      </c>
      <c r="I10" s="264" t="n">
        <v>0.15</v>
      </c>
      <c r="J10" s="264" t="n">
        <v>0.07000000000000001</v>
      </c>
      <c r="K10" s="264" t="n">
        <v>0.15</v>
      </c>
      <c r="L10" s="264" t="n">
        <v>0.01</v>
      </c>
      <c r="M10" s="265">
        <f>参数!$B$2</f>
        <v/>
      </c>
      <c r="N10" s="227">
        <f>IF(C10="","",VLOOKUP($C10,箱规!$A$2:$S$23,14,FALSE))</f>
        <v/>
      </c>
      <c r="O10" s="227">
        <f>IF(C10="","",VLOOKUP($C10,箱规!$A$2:$S$23,5,FALSE))</f>
        <v/>
      </c>
      <c r="P10" s="227">
        <f>IF(C10="","",VLOOKUP($C10,箱规!$A$2:$S$23,6,FALSE))</f>
        <v/>
      </c>
      <c r="Q10" s="227">
        <f>IF(C10="","",VLOOKUP($C10,箱规!$A$2:$S$23,7,FALSE))</f>
        <v/>
      </c>
      <c r="R10" s="279">
        <f>IF(OR(N10="",O10="",P10="",Q10=""),"",MAX(N10*FBA规则!$B$6,(O10/FBA规则!$B$5)*(P10/FBA规则!$B$5)*(Q10/FBA规则!$B$5)/FBA规则!$B$7))</f>
        <v/>
      </c>
      <c r="S10" s="280">
        <f>IF(R10="","",IF(AND(N10*FBA规则!$B$6&lt;=1,MAX(O10,P10,Q10)/FBA规则!$B$5&lt;=15,MEDIAN(O10,P10,Q10)/FBA规则!$B$5&lt;=12,MIN(O10,P10,Q10)/FBA规则!$B$5&lt;=0.75),"小标准",IF(AND(R10&lt;=20,MAX(O10,P10,Q10)/FBA规则!$B$5&lt;=18,MEDIAN(O10,P10,Q10)/FBA规则!$B$5&lt;=14,MIN(O10,P10,Q10)/FBA规则!$B$5&lt;=8),"大标准",IF(AND(R10&lt;=50,MAX(O10,P10,Q10)/FBA规则!$B$5&lt;=59,MEDIAN(O10,P10,Q10)/FBA规则!$B$5&lt;=33,MIN(O10,P10,Q10)/FBA规则!$B$5&lt;=33,T10&lt;=130),"大件",IF(R10&lt;=50,"超大0-50lb",IF(R10&lt;=70,"超大50-70lb",IF(R10&lt;=150,"超大70-150lb","超大150lb+")))))))</f>
        <v/>
      </c>
      <c r="T10" s="279">
        <f>IF(OR(O10="",P10="",Q10=""),"",MAX(O10,P10,Q10)/FBA规则!$B$5+2*((MEDIAN(O10,P10,Q10)+MIN(O10,P10,Q10))/FBA规则!$B$5))</f>
        <v/>
      </c>
      <c r="U10" s="267">
        <f>参数!$B$15</f>
        <v/>
      </c>
      <c r="V10" s="268">
        <f>IF(OR(C10="",U10=""),"",(IF(OR(VLOOKUP($C10,箱规!$A$2:$S$23,4,FALSE)="",VLOOKUP($C10,箱规!$A$2:$S$23,4,FALSE)=0),VLOOKUP($C10,箱规!$A$2:$S$23,2,FALSE)*VLOOKUP($C10,箱规!$A$2:$S$23,3,FALSE)/10000,VLOOKUP($C10,箱规!$A$2:$S$23,4,FALSE)))*U10)</f>
        <v/>
      </c>
      <c r="W10" s="269" t="n"/>
      <c r="X10" s="270">
        <f>IF(AND(V10&lt;&gt;"",M10&lt;&gt;""),V10/M10,IF(AND(W10&lt;&gt;"",M10&lt;&gt;""),W10*1.13/M10,""))</f>
        <v/>
      </c>
      <c r="Y10" s="271">
        <f>IF(OR(X10="",G10=""),"",X10/G10)</f>
        <v/>
      </c>
      <c r="Z10" s="272" t="n"/>
      <c r="AA10" s="273">
        <f>IF(OR(D10="",D10=0),"",IF(BG10="陆运",IF(BL10="",0,BL10)/D10,IF(BG10="海运",IF(BK10="",0,BK10)/D10,IF(BG10="海运+陆运",(IF(BK10="",0,BK10)+IF(BL10="",0,BL10))/D10,IF(BK10="",0,BK10)/D10))))</f>
        <v/>
      </c>
      <c r="AB10" s="274">
        <f>IF(OR(S10="",R10="",参数!$B$23=""),"",IF(S10="小标准",IFERROR(INDEX(FBA规则!$B$58:$C$65,MATCH(N10*FBA规则!$B$6*16,FBA规则!$A$58:$A$65,1),IF(参数!$B$23="旺季",2,1)),INDEX(FBA规则!$B$65:$C$65,1,IF(参数!$B$23="旺季",2,1))),IF(S10="大标准",IF(R10&lt;=3,IFERROR(INDEX(FBA规则!$B$35:$C$46,MATCH(R10,FBA规则!$A$35:$A$46,1),IF(参数!$B$23="旺季",2,1)),INDEX(FBA规则!$B$46:$C$46,1,IF(参数!$B$23="旺季",2,1))),INDEX(FBA规则!$B$47:$C$47,1,IF(参数!$B$23="旺季",2,1))+FBA规则!$D$47*CEILING((R10-3)*4,1)),IF(S10="大件",INDEX(FBA规则!$B$50:$C$50,1,IF(参数!$B$23="旺季",2,1))+FBA规则!$D$50*MAX(0,CEILING(R10,1)-1),IF(S10="超大0-50lb",INDEX(FBA规则!$B$51:$C$51,1,IF(参数!$B$23="旺季",2,1))+FBA规则!$D$51*MAX(0,CEILING(R10,1)-1),IF(S10="超大50-70lb",INDEX(FBA规则!$B$52:$C$52,1,IF(参数!$B$23="旺季",2,1))+FBA规则!$D$52*MAX(0,R10-FBA规则!$F$52),IF(S10="超大70-150lb",INDEX(FBA规则!$B$53:$C$53,1,IF(参数!$B$23="旺季",2,1))+FBA规则!$D$53*MAX(0,R10-FBA规则!$F$53),INDEX(FBA规则!$B$54:$C$54,1,IF(参数!$B$23="旺季",2,1))+FBA规则!$D$54*MAX(0,R10-FBA规则!$F$54))))))))</f>
        <v/>
      </c>
      <c r="AC10" s="274">
        <f>IF(OR(G10="",I10=""),"",G10*I10)</f>
        <v/>
      </c>
      <c r="AD10" s="274">
        <f>IF(OR(G10="",J10=""),"",G10*J10)</f>
        <v/>
      </c>
      <c r="AE10" s="274">
        <f>IF(OR(G10="",K10=""),"",G10*K10)</f>
        <v/>
      </c>
      <c r="AF10" s="274">
        <f>IF(OR(G10="",L10=""),"",G10*L10)</f>
        <v/>
      </c>
      <c r="AG10" s="271" t="n">
        <v>0.02</v>
      </c>
      <c r="AH10" s="274">
        <f>IF(OR(G10="",AG10=""),"",G10*AG10)</f>
        <v/>
      </c>
      <c r="AI10" s="272" t="n"/>
      <c r="AJ10" s="274">
        <f>IF(X10="","",X10+IF(OR(AA10="",M10=""),0,AA10/M10)+SUM(AB10:AF10)+IF(AH10="",0,AH10)+IF(AI10="",0,AI10))</f>
        <v/>
      </c>
      <c r="AK10" s="274">
        <f>IF(X10="","",0.13*X10/1.13)</f>
        <v/>
      </c>
      <c r="AL10" s="274">
        <f>IF(OR(G10="",AJ10=""),"",G10+AK10-AJ10)</f>
        <v/>
      </c>
      <c r="AM10" s="271">
        <f>IF(OR(AL10="",G10=""),"",AL10/G10)</f>
        <v/>
      </c>
      <c r="AN10" s="224">
        <f>IF(OR(X10="",H10=""),"",X10/H10)</f>
        <v/>
      </c>
      <c r="AO10" s="225" t="n"/>
      <c r="AP10" s="275">
        <f>AA10</f>
        <v/>
      </c>
      <c r="AQ10" s="223">
        <f>IF(OR(S10="",R10="",参数!$B$23=""),"",IF(S10="小标准",IFERROR(INDEX(FBA规则!$B$58:$C$65,MATCH(N10*FBA规则!$B$6*16,FBA规则!$A$58:$A$65,1),IF(参数!$B$23="旺季",2,1)),INDEX(FBA规则!$B$65:$C$65,1,IF(参数!$B$23="旺季",2,1))),IF(S10="大标准",IF(R10&lt;=3,IFERROR(INDEX(FBA规则!$B$35:$C$46,MATCH(R10,FBA规则!$A$35:$A$46,1),IF(参数!$B$23="旺季",2,1)),INDEX(FBA规则!$B$46:$C$46,1,IF(参数!$B$23="旺季",2,1))),INDEX(FBA规则!$B$47:$C$47,1,IF(参数!$B$23="旺季",2,1))+FBA规则!$D$47*CEILING((R10-3)*4,1)),IF(S10="大件",INDEX(FBA规则!$B$50:$C$50,1,IF(参数!$B$23="旺季",2,1))+FBA规则!$D$50*MAX(0,CEILING(R10,1)-1),IF(S10="超大0-50lb",INDEX(FBA规则!$B$51:$C$51,1,IF(参数!$B$23="旺季",2,1))+FBA规则!$D$51*MAX(0,CEILING(R10,1)-1),IF(S10="超大50-70lb",INDEX(FBA规则!$B$52:$C$52,1,IF(参数!$B$23="旺季",2,1))+FBA规则!$D$52*MAX(0,R10-FBA规则!$F$52),IF(S10="超大70-150lb",INDEX(FBA规则!$B$53:$C$53,1,IF(参数!$B$23="旺季",2,1))+FBA规则!$D$53*MAX(0,R10-FBA规则!$F$53),INDEX(FBA规则!$B$54:$C$54,1,IF(参数!$B$23="旺季",2,1))+FBA规则!$D$54*MAX(0,R10-FBA规则!$F$54))))))))</f>
        <v/>
      </c>
      <c r="AR10" s="223">
        <f>IF(OR(H10="",I10=""),"",H10*I10)</f>
        <v/>
      </c>
      <c r="AS10" s="223">
        <f>IF(OR(H10="",J10=""),"",H10*J10)</f>
        <v/>
      </c>
      <c r="AT10" s="223">
        <f>IF(OR(H10="",K10=""),"",H10*K10)</f>
        <v/>
      </c>
      <c r="AU10" s="223">
        <f>IF(OR(H10="",L10=""),"",H10*L10)</f>
        <v/>
      </c>
      <c r="AV10" s="224" t="n">
        <v>0.02</v>
      </c>
      <c r="AW10" s="223">
        <f>IF(OR(H10="",AV10=""),"",H10*AV10)</f>
        <v/>
      </c>
      <c r="AX10" s="225" t="n"/>
      <c r="AY10" s="223">
        <f>IF(X10="","",X10+IF(OR(AP10="",M10=""),0,AP10/M10)+SUM(AQ10:AU10)+IF(AW10="",0,AW10)+IF(AX10="",0,AX10))</f>
        <v/>
      </c>
      <c r="AZ10" s="223">
        <f>IF(X10="","",0.13*X10/1.13)</f>
        <v/>
      </c>
      <c r="BA10" s="223">
        <f>IF(OR(H10="",AY10=""),"",H10+AZ10-AY10)</f>
        <v/>
      </c>
      <c r="BB10" s="224">
        <f>IF(OR(BA10="",H10=""),"",BA10/H10)</f>
        <v/>
      </c>
      <c r="BC10" s="223">
        <f>IF(OR(H10="",AY10=""),"",H10-AY10)</f>
        <v/>
      </c>
      <c r="BD10" s="224">
        <f>IF(OR(BC10="",H10=""),"",BC10/H10)</f>
        <v/>
      </c>
      <c r="BE10" s="205" t="inlineStr">
        <is>
          <t>义乌</t>
        </is>
      </c>
      <c r="BF10" s="231" t="inlineStr">
        <is>
          <t>ABE8</t>
        </is>
      </c>
      <c r="BG10" s="205" t="inlineStr">
        <is>
          <t>海运</t>
        </is>
      </c>
      <c r="BH10" s="226" t="inlineStr">
        <is>
          <t>（最低价）</t>
        </is>
      </c>
      <c r="BI10" s="227">
        <f>IF(OR(BE10="",BF10=""),"",IF(AND(BH10&lt;&gt;"",BH10&lt;&gt;"（最低价）"),IFERROR(IF(SUMIFS(海运报价!$F$2:$F$2000,海运报价!$C$2:$C$2000,BH10,海运报价!$D$2:$D$2000,BE10,海运报价!$E$2:$E$2000,BF10)=0,"",SUMIFS(海运报价!$F$2:$F$2000,海运报价!$C$2:$C$2000,BH10,海运报价!$D$2:$D$2000,BE10,海运报价!$E$2:$E$2000,BF10)),""),IFERROR(IF(SUMIFS(海运下拉!$H$2:$H$311,海运下拉!$F$2:$F$311,BE10,海运下拉!$G$2:$G$311,BF10)=0,"",SUMIFS(海运下拉!$H$2:$H$311,海运下拉!$F$2:$F$311,BE10,海运下拉!$G$2:$G$311,BF10)),"")))</f>
        <v/>
      </c>
      <c r="BJ10" s="227">
        <f>IF(C10="","",VLOOKUP($C10,箱规!$A$2:$S$23,18,FALSE))</f>
        <v/>
      </c>
      <c r="BK10" s="228">
        <f>IF(OR(BI10="",BJ10=""),"",BJ10*(BI10+IF(AND(BH10&lt;&gt;"",BH10&lt;&gt;"（最低价）"),IFERROR(AVERAGEIFS(海运报价!$H$2:$H$2000,海运报价!$C$2:$C$2000,BH10,海运报价!$D$2:$D$2000,BE10,海运报价!$E$2:$E$2000,BF10),0),IFERROR(SUMIFS(海运下拉!$J$2:$J$311,海运下拉!$F$2:$F$311,BE10,海运下拉!$G$2:$G$311,BF10),0))))</f>
        <v/>
      </c>
      <c r="BL10" s="247" t="n"/>
      <c r="BM10" s="229">
        <f>IF(OR(BE10="",BF10=""),"请选起运地+FBA仓",IF(AND(AND(BH10&lt;&gt;"",BH10&lt;&gt;"（最低价）"),BI10=""),"⚠该渠道不服务此仓：请重选渠道，或选「（最低价）」",IF(BI10="","无报价：请换起运地/仓库",IF(AND(BH10&lt;&gt;"",BH10&lt;&gt;"（最低价）"),"按你选的渠道「"&amp;BH10&amp;"」计价","按最低价「"&amp;IFERROR(SUMIFS(海运下拉!$I$2:$I$311,海运下拉!$F$2:$F$311,BE10,海运下拉!$G$2:$G$311,BF10),"")&amp;"」（渠道默认最低价）"))))</f>
        <v/>
      </c>
      <c r="BO10" s="1">
        <f>IF(OR($BE10="",$BF10=""),"",IFERROR(INDEX(海运报价!$C$2:$C$2000,AGGREGATE(15,6,(ROW(海运报价!$C$2:$C$2000)-ROW(海运报价!$C$2)+1)/((海运报价!$D$2:$D$2000=$BE10)*(海运报价!$E$2:$E$2000=$BF10)),1)),""))</f>
        <v/>
      </c>
      <c r="BP10" s="1">
        <f>IF(OR($BE10="",$BF10=""),"",IFERROR(INDEX(海运报价!$C$2:$C$2000,AGGREGATE(15,6,(ROW(海运报价!$C$2:$C$2000)-ROW(海运报价!$C$2)+1)/((海运报价!$D$2:$D$2000=$BE10)*(海运报价!$E$2:$E$2000=$BF10)),2)),""))</f>
        <v/>
      </c>
      <c r="BQ10" s="1">
        <f>IF(OR($BE10="",$BF10=""),"",IFERROR(INDEX(海运报价!$C$2:$C$2000,AGGREGATE(15,6,(ROW(海运报价!$C$2:$C$2000)-ROW(海运报价!$C$2)+1)/((海运报价!$D$2:$D$2000=$BE10)*(海运报价!$E$2:$E$2000=$BF10)),3)),""))</f>
        <v/>
      </c>
      <c r="BR10" s="1">
        <f>IF(OR($BE10="",$BF10=""),"",IFERROR(INDEX(海运报价!$C$2:$C$2000,AGGREGATE(15,6,(ROW(海运报价!$C$2:$C$2000)-ROW(海运报价!$C$2)+1)/((海运报价!$D$2:$D$2000=$BE10)*(海运报价!$E$2:$E$2000=$BF10)),4)),""))</f>
        <v/>
      </c>
      <c r="BS10" s="1">
        <f>IF(OR($BE10="",$BF10=""),"",IFERROR(INDEX(海运报价!$C$2:$C$2000,AGGREGATE(15,6,(ROW(海运报价!$C$2:$C$2000)-ROW(海运报价!$C$2)+1)/((海运报价!$D$2:$D$2000=$BE10)*(海运报价!$E$2:$E$2000=$BF10)),5)),""))</f>
        <v/>
      </c>
      <c r="BT10" s="1">
        <f>IF(OR($BE10="",$BF10=""),"",IFERROR(INDEX(海运报价!$C$2:$C$2000,AGGREGATE(15,6,(ROW(海运报价!$C$2:$C$2000)-ROW(海运报价!$C$2)+1)/((海运报价!$D$2:$D$2000=$BE10)*(海运报价!$E$2:$E$2000=$BF10)),6)),""))</f>
        <v/>
      </c>
      <c r="BU10" s="1">
        <f>IF(OR($BE10="",$BF10=""),"",IFERROR(INDEX(海运报价!$C$2:$C$2000,AGGREGATE(15,6,(ROW(海运报价!$C$2:$C$2000)-ROW(海运报价!$C$2)+1)/((海运报价!$D$2:$D$2000=$BE10)*(海运报价!$E$2:$E$2000=$BF10)),7)),""))</f>
        <v/>
      </c>
      <c r="BV10" s="1">
        <f>IF(OR($BE10="",$BF10=""),"",IFERROR(INDEX(海运报价!$C$2:$C$2000,AGGREGATE(15,6,(ROW(海运报价!$C$2:$C$2000)-ROW(海运报价!$C$2)+1)/((海运报价!$D$2:$D$2000=$BE10)*(海运报价!$E$2:$E$2000=$BF10)),8)),""))</f>
        <v/>
      </c>
      <c r="BW10" s="1">
        <f>IF(OR($BE10="",$BF10=""),"",IFERROR(INDEX(海运报价!$C$2:$C$2000,AGGREGATE(15,6,(ROW(海运报价!$C$2:$C$2000)-ROW(海运报价!$C$2)+1)/((海运报价!$D$2:$D$2000=$BE10)*(海运报价!$E$2:$E$2000=$BF10)),9)),""))</f>
        <v/>
      </c>
      <c r="BX10" s="1">
        <f>IF(OR($BE10="",$BF10=""),"",IFERROR(INDEX(海运报价!$C$2:$C$2000,AGGREGATE(15,6,(ROW(海运报价!$C$2:$C$2000)-ROW(海运报价!$C$2)+1)/((海运报价!$D$2:$D$2000=$BE10)*(海运报价!$E$2:$E$2000=$BF10)),10)),""))</f>
        <v/>
      </c>
      <c r="BY10" s="1">
        <f>IF(OR($BE10="",$BF10=""),"",IFERROR(INDEX(海运报价!$C$2:$C$2000,AGGREGATE(15,6,(ROW(海运报价!$C$2:$C$2000)-ROW(海运报价!$C$2)+1)/((海运报价!$D$2:$D$2000=$BE10)*(海运报价!$E$2:$E$2000=$BF10)),11)),""))</f>
        <v/>
      </c>
      <c r="BZ10" s="1">
        <f>IF(OR($BE10="",$BF10=""),"",IFERROR(INDEX(海运报价!$C$2:$C$2000,AGGREGATE(15,6,(ROW(海运报价!$C$2:$C$2000)-ROW(海运报价!$C$2)+1)/((海运报价!$D$2:$D$2000=$BE10)*(海运报价!$E$2:$E$2000=$BF10)),12)),""))</f>
        <v/>
      </c>
      <c r="CA10" s="1">
        <f>IF(OR($BE10="",$BF10=""),"",IFERROR(INDEX(海运报价!$C$2:$C$2000,AGGREGATE(15,6,(ROW(海运报价!$C$2:$C$2000)-ROW(海运报价!$C$2)+1)/((海运报价!$D$2:$D$2000=$BE10)*(海运报价!$E$2:$E$2000=$BF10)),13)),""))</f>
        <v/>
      </c>
      <c r="CB10" s="1">
        <f>IF(OR($BE10="",$BF10=""),"",IFERROR(INDEX(海运报价!$C$2:$C$2000,AGGREGATE(15,6,(ROW(海运报价!$C$2:$C$2000)-ROW(海运报价!$C$2)+1)/((海运报价!$D$2:$D$2000=$BE10)*(海运报价!$E$2:$E$2000=$BF10)),14)),""))</f>
        <v/>
      </c>
      <c r="CC10" s="1">
        <f>IF(OR($BE10="",$BF10=""),"",IFERROR(INDEX(海运报价!$C$2:$C$2000,AGGREGATE(15,6,(ROW(海运报价!$C$2:$C$2000)-ROW(海运报价!$C$2)+1)/((海运报价!$D$2:$D$2000=$BE10)*(海运报价!$E$2:$E$2000=$BF10)),15)),""))</f>
        <v/>
      </c>
      <c r="CD10" s="119">
        <f>IF(OR(X10="",M10=""),"",X10+IF(OR(AA10="",M10=""),0,AA10/M10)+IF(AB10="",0,AB10)+IF(AI10="",0,AI10)+IF(Z10="",0,Z10))</f>
        <v/>
      </c>
      <c r="CE10" s="142">
        <f>I10+J10+K10+L10+AG10</f>
        <v/>
      </c>
    </row>
    <row r="11">
      <c r="B11" s="231" t="n"/>
      <c r="C11" s="231" t="inlineStr">
        <is>
          <t>5'7'</t>
        </is>
      </c>
      <c r="D11" s="206">
        <f>IF(C11="","",VLOOKUP($C11,箱规!$A$2:$S$23,9,FALSE))</f>
        <v/>
      </c>
      <c r="E11" s="231" t="n"/>
      <c r="F11" s="180" t="n"/>
      <c r="G11" s="170">
        <f>IF(OR(CD11="",CE11="",CE11&gt;=1,X11=""),"",ROUNDUP((CD11-0.13*X11/1.13)/(1-CE11),2))</f>
        <v/>
      </c>
      <c r="H11" s="169">
        <f>IF(OR(CD11="",CE11="",X11=""),"",IF((1-CE11-参数!$B$16)&lt;=0,"费率过高",ROUND((CD11-0.13*X11/1.13)/(1-CE11-参数!$B$16),2)))</f>
        <v/>
      </c>
      <c r="I11" s="264" t="n">
        <v>0.15</v>
      </c>
      <c r="J11" s="264" t="n">
        <v>0.07000000000000001</v>
      </c>
      <c r="K11" s="264" t="n">
        <v>0.15</v>
      </c>
      <c r="L11" s="264" t="n">
        <v>0.01</v>
      </c>
      <c r="M11" s="265">
        <f>参数!$B$2</f>
        <v/>
      </c>
      <c r="N11" s="227">
        <f>IF(C11="","",VLOOKUP($C11,箱规!$A$2:$S$23,14,FALSE))</f>
        <v/>
      </c>
      <c r="O11" s="227">
        <f>IF(C11="","",VLOOKUP($C11,箱规!$A$2:$S$23,5,FALSE))</f>
        <v/>
      </c>
      <c r="P11" s="227">
        <f>IF(C11="","",VLOOKUP($C11,箱规!$A$2:$S$23,6,FALSE))</f>
        <v/>
      </c>
      <c r="Q11" s="227">
        <f>IF(C11="","",VLOOKUP($C11,箱规!$A$2:$S$23,7,FALSE))</f>
        <v/>
      </c>
      <c r="R11" s="279">
        <f>IF(OR(N11="",O11="",P11="",Q11=""),"",MAX(N11*FBA规则!$B$6,(O11/FBA规则!$B$5)*(P11/FBA规则!$B$5)*(Q11/FBA规则!$B$5)/FBA规则!$B$7))</f>
        <v/>
      </c>
      <c r="S11" s="280">
        <f>IF(R11="","",IF(AND(N11*FBA规则!$B$6&lt;=1,MAX(O11,P11,Q11)/FBA规则!$B$5&lt;=15,MEDIAN(O11,P11,Q11)/FBA规则!$B$5&lt;=12,MIN(O11,P11,Q11)/FBA规则!$B$5&lt;=0.75),"小标准",IF(AND(R11&lt;=20,MAX(O11,P11,Q11)/FBA规则!$B$5&lt;=18,MEDIAN(O11,P11,Q11)/FBA规则!$B$5&lt;=14,MIN(O11,P11,Q11)/FBA规则!$B$5&lt;=8),"大标准",IF(AND(R11&lt;=50,MAX(O11,P11,Q11)/FBA规则!$B$5&lt;=59,MEDIAN(O11,P11,Q11)/FBA规则!$B$5&lt;=33,MIN(O11,P11,Q11)/FBA规则!$B$5&lt;=33,T11&lt;=130),"大件",IF(R11&lt;=50,"超大0-50lb",IF(R11&lt;=70,"超大50-70lb",IF(R11&lt;=150,"超大70-150lb","超大150lb+")))))))</f>
        <v/>
      </c>
      <c r="T11" s="279">
        <f>IF(OR(O11="",P11="",Q11=""),"",MAX(O11,P11,Q11)/FBA规则!$B$5+2*((MEDIAN(O11,P11,Q11)+MIN(O11,P11,Q11))/FBA规则!$B$5))</f>
        <v/>
      </c>
      <c r="U11" s="267">
        <f>参数!$B$15</f>
        <v/>
      </c>
      <c r="V11" s="268">
        <f>IF(OR(C11="",U11=""),"",(IF(OR(VLOOKUP($C11,箱规!$A$2:$S$23,4,FALSE)="",VLOOKUP($C11,箱规!$A$2:$S$23,4,FALSE)=0),VLOOKUP($C11,箱规!$A$2:$S$23,2,FALSE)*VLOOKUP($C11,箱规!$A$2:$S$23,3,FALSE)/10000,VLOOKUP($C11,箱规!$A$2:$S$23,4,FALSE)))*U11)</f>
        <v/>
      </c>
      <c r="W11" s="269" t="n"/>
      <c r="X11" s="270">
        <f>IF(AND(V11&lt;&gt;"",M11&lt;&gt;""),V11/M11,IF(AND(W11&lt;&gt;"",M11&lt;&gt;""),W11*1.13/M11,""))</f>
        <v/>
      </c>
      <c r="Y11" s="271">
        <f>IF(OR(X11="",G11=""),"",X11/G11)</f>
        <v/>
      </c>
      <c r="Z11" s="272" t="n"/>
      <c r="AA11" s="273">
        <f>IF(OR(D11="",D11=0),"",IF(BG11="陆运",IF(BL11="",0,BL11)/D11,IF(BG11="海运",IF(BK11="",0,BK11)/D11,IF(BG11="海运+陆运",(IF(BK11="",0,BK11)+IF(BL11="",0,BL11))/D11,IF(BK11="",0,BK11)/D11))))</f>
        <v/>
      </c>
      <c r="AB11" s="274">
        <f>IF(OR(S11="",R11="",参数!$B$23=""),"",IF(S11="小标准",IFERROR(INDEX(FBA规则!$B$58:$C$65,MATCH(N11*FBA规则!$B$6*16,FBA规则!$A$58:$A$65,1),IF(参数!$B$23="旺季",2,1)),INDEX(FBA规则!$B$65:$C$65,1,IF(参数!$B$23="旺季",2,1))),IF(S11="大标准",IF(R11&lt;=3,IFERROR(INDEX(FBA规则!$B$35:$C$46,MATCH(R11,FBA规则!$A$35:$A$46,1),IF(参数!$B$23="旺季",2,1)),INDEX(FBA规则!$B$46:$C$46,1,IF(参数!$B$23="旺季",2,1))),INDEX(FBA规则!$B$47:$C$47,1,IF(参数!$B$23="旺季",2,1))+FBA规则!$D$47*CEILING((R11-3)*4,1)),IF(S11="大件",INDEX(FBA规则!$B$50:$C$50,1,IF(参数!$B$23="旺季",2,1))+FBA规则!$D$50*MAX(0,CEILING(R11,1)-1),IF(S11="超大0-50lb",INDEX(FBA规则!$B$51:$C$51,1,IF(参数!$B$23="旺季",2,1))+FBA规则!$D$51*MAX(0,CEILING(R11,1)-1),IF(S11="超大50-70lb",INDEX(FBA规则!$B$52:$C$52,1,IF(参数!$B$23="旺季",2,1))+FBA规则!$D$52*MAX(0,R11-FBA规则!$F$52),IF(S11="超大70-150lb",INDEX(FBA规则!$B$53:$C$53,1,IF(参数!$B$23="旺季",2,1))+FBA规则!$D$53*MAX(0,R11-FBA规则!$F$53),INDEX(FBA规则!$B$54:$C$54,1,IF(参数!$B$23="旺季",2,1))+FBA规则!$D$54*MAX(0,R11-FBA规则!$F$54))))))))</f>
        <v/>
      </c>
      <c r="AC11" s="274">
        <f>IF(OR(G11="",I11=""),"",G11*I11)</f>
        <v/>
      </c>
      <c r="AD11" s="274">
        <f>IF(OR(G11="",J11=""),"",G11*J11)</f>
        <v/>
      </c>
      <c r="AE11" s="274">
        <f>IF(OR(G11="",K11=""),"",G11*K11)</f>
        <v/>
      </c>
      <c r="AF11" s="274">
        <f>IF(OR(G11="",L11=""),"",G11*L11)</f>
        <v/>
      </c>
      <c r="AG11" s="271" t="n">
        <v>0.02</v>
      </c>
      <c r="AH11" s="274">
        <f>IF(OR(G11="",AG11=""),"",G11*AG11)</f>
        <v/>
      </c>
      <c r="AI11" s="272" t="n"/>
      <c r="AJ11" s="274">
        <f>IF(X11="","",X11+IF(OR(AA11="",M11=""),0,AA11/M11)+SUM(AB11:AF11)+IF(AH11="",0,AH11)+IF(AI11="",0,AI11))</f>
        <v/>
      </c>
      <c r="AK11" s="274">
        <f>IF(X11="","",0.13*X11/1.13)</f>
        <v/>
      </c>
      <c r="AL11" s="274">
        <f>IF(OR(G11="",AJ11=""),"",G11+AK11-AJ11)</f>
        <v/>
      </c>
      <c r="AM11" s="271">
        <f>IF(OR(AL11="",G11=""),"",AL11/G11)</f>
        <v/>
      </c>
      <c r="AN11" s="224">
        <f>IF(OR(X11="",H11=""),"",X11/H11)</f>
        <v/>
      </c>
      <c r="AO11" s="225" t="n"/>
      <c r="AP11" s="275">
        <f>AA11</f>
        <v/>
      </c>
      <c r="AQ11" s="223">
        <f>IF(OR(S11="",R11="",参数!$B$23=""),"",IF(S11="小标准",IFERROR(INDEX(FBA规则!$B$58:$C$65,MATCH(N11*FBA规则!$B$6*16,FBA规则!$A$58:$A$65,1),IF(参数!$B$23="旺季",2,1)),INDEX(FBA规则!$B$65:$C$65,1,IF(参数!$B$23="旺季",2,1))),IF(S11="大标准",IF(R11&lt;=3,IFERROR(INDEX(FBA规则!$B$35:$C$46,MATCH(R11,FBA规则!$A$35:$A$46,1),IF(参数!$B$23="旺季",2,1)),INDEX(FBA规则!$B$46:$C$46,1,IF(参数!$B$23="旺季",2,1))),INDEX(FBA规则!$B$47:$C$47,1,IF(参数!$B$23="旺季",2,1))+FBA规则!$D$47*CEILING((R11-3)*4,1)),IF(S11="大件",INDEX(FBA规则!$B$50:$C$50,1,IF(参数!$B$23="旺季",2,1))+FBA规则!$D$50*MAX(0,CEILING(R11,1)-1),IF(S11="超大0-50lb",INDEX(FBA规则!$B$51:$C$51,1,IF(参数!$B$23="旺季",2,1))+FBA规则!$D$51*MAX(0,CEILING(R11,1)-1),IF(S11="超大50-70lb",INDEX(FBA规则!$B$52:$C$52,1,IF(参数!$B$23="旺季",2,1))+FBA规则!$D$52*MAX(0,R11-FBA规则!$F$52),IF(S11="超大70-150lb",INDEX(FBA规则!$B$53:$C$53,1,IF(参数!$B$23="旺季",2,1))+FBA规则!$D$53*MAX(0,R11-FBA规则!$F$53),INDEX(FBA规则!$B$54:$C$54,1,IF(参数!$B$23="旺季",2,1))+FBA规则!$D$54*MAX(0,R11-FBA规则!$F$54))))))))</f>
        <v/>
      </c>
      <c r="AR11" s="223">
        <f>IF(OR(H11="",I11=""),"",H11*I11)</f>
        <v/>
      </c>
      <c r="AS11" s="223">
        <f>IF(OR(H11="",J11=""),"",H11*J11)</f>
        <v/>
      </c>
      <c r="AT11" s="223">
        <f>IF(OR(H11="",K11=""),"",H11*K11)</f>
        <v/>
      </c>
      <c r="AU11" s="223">
        <f>IF(OR(H11="",L11=""),"",H11*L11)</f>
        <v/>
      </c>
      <c r="AV11" s="224" t="n">
        <v>0.02</v>
      </c>
      <c r="AW11" s="223">
        <f>IF(OR(H11="",AV11=""),"",H11*AV11)</f>
        <v/>
      </c>
      <c r="AX11" s="225" t="n"/>
      <c r="AY11" s="223">
        <f>IF(X11="","",X11+IF(OR(AP11="",M11=""),0,AP11/M11)+SUM(AQ11:AU11)+IF(AW11="",0,AW11)+IF(AX11="",0,AX11))</f>
        <v/>
      </c>
      <c r="AZ11" s="223">
        <f>IF(X11="","",0.13*X11/1.13)</f>
        <v/>
      </c>
      <c r="BA11" s="223">
        <f>IF(OR(H11="",AY11=""),"",H11+AZ11-AY11)</f>
        <v/>
      </c>
      <c r="BB11" s="224">
        <f>IF(OR(BA11="",H11=""),"",BA11/H11)</f>
        <v/>
      </c>
      <c r="BC11" s="223">
        <f>IF(OR(H11="",AY11=""),"",H11-AY11)</f>
        <v/>
      </c>
      <c r="BD11" s="224">
        <f>IF(OR(BC11="",H11=""),"",BC11/H11)</f>
        <v/>
      </c>
      <c r="BE11" s="205" t="inlineStr">
        <is>
          <t>义乌</t>
        </is>
      </c>
      <c r="BF11" s="231" t="inlineStr">
        <is>
          <t>ABE8</t>
        </is>
      </c>
      <c r="BG11" s="205" t="inlineStr">
        <is>
          <t>海运</t>
        </is>
      </c>
      <c r="BH11" s="226" t="inlineStr">
        <is>
          <t>（最低价）</t>
        </is>
      </c>
      <c r="BI11" s="227">
        <f>IF(OR(BE11="",BF11=""),"",IF(AND(BH11&lt;&gt;"",BH11&lt;&gt;"（最低价）"),IFERROR(IF(SUMIFS(海运报价!$F$2:$F$2000,海运报价!$C$2:$C$2000,BH11,海运报价!$D$2:$D$2000,BE11,海运报价!$E$2:$E$2000,BF11)=0,"",SUMIFS(海运报价!$F$2:$F$2000,海运报价!$C$2:$C$2000,BH11,海运报价!$D$2:$D$2000,BE11,海运报价!$E$2:$E$2000,BF11)),""),IFERROR(IF(SUMIFS(海运下拉!$H$2:$H$311,海运下拉!$F$2:$F$311,BE11,海运下拉!$G$2:$G$311,BF11)=0,"",SUMIFS(海运下拉!$H$2:$H$311,海运下拉!$F$2:$F$311,BE11,海运下拉!$G$2:$G$311,BF11)),"")))</f>
        <v/>
      </c>
      <c r="BJ11" s="227">
        <f>IF(C11="","",VLOOKUP($C11,箱规!$A$2:$S$23,18,FALSE))</f>
        <v/>
      </c>
      <c r="BK11" s="228">
        <f>IF(OR(BI11="",BJ11=""),"",BJ11*(BI11+IF(AND(BH11&lt;&gt;"",BH11&lt;&gt;"（最低价）"),IFERROR(AVERAGEIFS(海运报价!$H$2:$H$2000,海运报价!$C$2:$C$2000,BH11,海运报价!$D$2:$D$2000,BE11,海运报价!$E$2:$E$2000,BF11),0),IFERROR(SUMIFS(海运下拉!$J$2:$J$311,海运下拉!$F$2:$F$311,BE11,海运下拉!$G$2:$G$311,BF11),0))))</f>
        <v/>
      </c>
      <c r="BL11" s="247" t="n"/>
      <c r="BM11" s="229">
        <f>IF(OR(BE11="",BF11=""),"请选起运地+FBA仓",IF(AND(AND(BH11&lt;&gt;"",BH11&lt;&gt;"（最低价）"),BI11=""),"⚠该渠道不服务此仓：请重选渠道，或选「（最低价）」",IF(BI11="","无报价：请换起运地/仓库",IF(AND(BH11&lt;&gt;"",BH11&lt;&gt;"（最低价）"),"按你选的渠道「"&amp;BH11&amp;"」计价","按最低价「"&amp;IFERROR(SUMIFS(海运下拉!$I$2:$I$311,海运下拉!$F$2:$F$311,BE11,海运下拉!$G$2:$G$311,BF11),"")&amp;"」（渠道默认最低价）"))))</f>
        <v/>
      </c>
      <c r="BO11" s="1">
        <f>IF(OR($BE11="",$BF11=""),"",IFERROR(INDEX(海运报价!$C$2:$C$2000,AGGREGATE(15,6,(ROW(海运报价!$C$2:$C$2000)-ROW(海运报价!$C$2)+1)/((海运报价!$D$2:$D$2000=$BE11)*(海运报价!$E$2:$E$2000=$BF11)),1)),""))</f>
        <v/>
      </c>
      <c r="BP11" s="1">
        <f>IF(OR($BE11="",$BF11=""),"",IFERROR(INDEX(海运报价!$C$2:$C$2000,AGGREGATE(15,6,(ROW(海运报价!$C$2:$C$2000)-ROW(海运报价!$C$2)+1)/((海运报价!$D$2:$D$2000=$BE11)*(海运报价!$E$2:$E$2000=$BF11)),2)),""))</f>
        <v/>
      </c>
      <c r="BQ11" s="1">
        <f>IF(OR($BE11="",$BF11=""),"",IFERROR(INDEX(海运报价!$C$2:$C$2000,AGGREGATE(15,6,(ROW(海运报价!$C$2:$C$2000)-ROW(海运报价!$C$2)+1)/((海运报价!$D$2:$D$2000=$BE11)*(海运报价!$E$2:$E$2000=$BF11)),3)),""))</f>
        <v/>
      </c>
      <c r="BR11" s="1">
        <f>IF(OR($BE11="",$BF11=""),"",IFERROR(INDEX(海运报价!$C$2:$C$2000,AGGREGATE(15,6,(ROW(海运报价!$C$2:$C$2000)-ROW(海运报价!$C$2)+1)/((海运报价!$D$2:$D$2000=$BE11)*(海运报价!$E$2:$E$2000=$BF11)),4)),""))</f>
        <v/>
      </c>
      <c r="BS11" s="1">
        <f>IF(OR($BE11="",$BF11=""),"",IFERROR(INDEX(海运报价!$C$2:$C$2000,AGGREGATE(15,6,(ROW(海运报价!$C$2:$C$2000)-ROW(海运报价!$C$2)+1)/((海运报价!$D$2:$D$2000=$BE11)*(海运报价!$E$2:$E$2000=$BF11)),5)),""))</f>
        <v/>
      </c>
      <c r="BT11" s="1">
        <f>IF(OR($BE11="",$BF11=""),"",IFERROR(INDEX(海运报价!$C$2:$C$2000,AGGREGATE(15,6,(ROW(海运报价!$C$2:$C$2000)-ROW(海运报价!$C$2)+1)/((海运报价!$D$2:$D$2000=$BE11)*(海运报价!$E$2:$E$2000=$BF11)),6)),""))</f>
        <v/>
      </c>
      <c r="BU11" s="1">
        <f>IF(OR($BE11="",$BF11=""),"",IFERROR(INDEX(海运报价!$C$2:$C$2000,AGGREGATE(15,6,(ROW(海运报价!$C$2:$C$2000)-ROW(海运报价!$C$2)+1)/((海运报价!$D$2:$D$2000=$BE11)*(海运报价!$E$2:$E$2000=$BF11)),7)),""))</f>
        <v/>
      </c>
      <c r="BV11" s="1">
        <f>IF(OR($BE11="",$BF11=""),"",IFERROR(INDEX(海运报价!$C$2:$C$2000,AGGREGATE(15,6,(ROW(海运报价!$C$2:$C$2000)-ROW(海运报价!$C$2)+1)/((海运报价!$D$2:$D$2000=$BE11)*(海运报价!$E$2:$E$2000=$BF11)),8)),""))</f>
        <v/>
      </c>
      <c r="BW11" s="1">
        <f>IF(OR($BE11="",$BF11=""),"",IFERROR(INDEX(海运报价!$C$2:$C$2000,AGGREGATE(15,6,(ROW(海运报价!$C$2:$C$2000)-ROW(海运报价!$C$2)+1)/((海运报价!$D$2:$D$2000=$BE11)*(海运报价!$E$2:$E$2000=$BF11)),9)),""))</f>
        <v/>
      </c>
      <c r="BX11" s="1">
        <f>IF(OR($BE11="",$BF11=""),"",IFERROR(INDEX(海运报价!$C$2:$C$2000,AGGREGATE(15,6,(ROW(海运报价!$C$2:$C$2000)-ROW(海运报价!$C$2)+1)/((海运报价!$D$2:$D$2000=$BE11)*(海运报价!$E$2:$E$2000=$BF11)),10)),""))</f>
        <v/>
      </c>
      <c r="BY11" s="1">
        <f>IF(OR($BE11="",$BF11=""),"",IFERROR(INDEX(海运报价!$C$2:$C$2000,AGGREGATE(15,6,(ROW(海运报价!$C$2:$C$2000)-ROW(海运报价!$C$2)+1)/((海运报价!$D$2:$D$2000=$BE11)*(海运报价!$E$2:$E$2000=$BF11)),11)),""))</f>
        <v/>
      </c>
      <c r="BZ11" s="1">
        <f>IF(OR($BE11="",$BF11=""),"",IFERROR(INDEX(海运报价!$C$2:$C$2000,AGGREGATE(15,6,(ROW(海运报价!$C$2:$C$2000)-ROW(海运报价!$C$2)+1)/((海运报价!$D$2:$D$2000=$BE11)*(海运报价!$E$2:$E$2000=$BF11)),12)),""))</f>
        <v/>
      </c>
      <c r="CA11" s="1">
        <f>IF(OR($BE11="",$BF11=""),"",IFERROR(INDEX(海运报价!$C$2:$C$2000,AGGREGATE(15,6,(ROW(海运报价!$C$2:$C$2000)-ROW(海运报价!$C$2)+1)/((海运报价!$D$2:$D$2000=$BE11)*(海运报价!$E$2:$E$2000=$BF11)),13)),""))</f>
        <v/>
      </c>
      <c r="CB11" s="1">
        <f>IF(OR($BE11="",$BF11=""),"",IFERROR(INDEX(海运报价!$C$2:$C$2000,AGGREGATE(15,6,(ROW(海运报价!$C$2:$C$2000)-ROW(海运报价!$C$2)+1)/((海运报价!$D$2:$D$2000=$BE11)*(海运报价!$E$2:$E$2000=$BF11)),14)),""))</f>
        <v/>
      </c>
      <c r="CC11" s="1">
        <f>IF(OR($BE11="",$BF11=""),"",IFERROR(INDEX(海运报价!$C$2:$C$2000,AGGREGATE(15,6,(ROW(海运报价!$C$2:$C$2000)-ROW(海运报价!$C$2)+1)/((海运报价!$D$2:$D$2000=$BE11)*(海运报价!$E$2:$E$2000=$BF11)),15)),""))</f>
        <v/>
      </c>
      <c r="CD11" s="119">
        <f>IF(OR(X11="",M11=""),"",X11+IF(OR(AA11="",M11=""),0,AA11/M11)+IF(AB11="",0,AB11)+IF(AI11="",0,AI11)+IF(Z11="",0,Z11))</f>
        <v/>
      </c>
      <c r="CE11" s="142">
        <f>I11+J11+K11+L11+AG11</f>
        <v/>
      </c>
    </row>
    <row r="12">
      <c r="B12" s="231" t="n"/>
      <c r="C12" s="231" t="inlineStr">
        <is>
          <t>5'8'</t>
        </is>
      </c>
      <c r="D12" s="206">
        <f>IF(C12="","",VLOOKUP($C12,箱规!$A$2:$S$23,9,FALSE))</f>
        <v/>
      </c>
      <c r="E12" s="231" t="n"/>
      <c r="F12" s="180" t="n"/>
      <c r="G12" s="170">
        <f>IF(OR(CD12="",CE12="",CE12&gt;=1,X12=""),"",ROUNDUP((CD12-0.13*X12/1.13)/(1-CE12),2))</f>
        <v/>
      </c>
      <c r="H12" s="169">
        <f>IF(OR(CD12="",CE12="",X12=""),"",IF((1-CE12-参数!$B$16)&lt;=0,"费率过高",ROUND((CD12-0.13*X12/1.13)/(1-CE12-参数!$B$16),2)))</f>
        <v/>
      </c>
      <c r="I12" s="264" t="n">
        <v>0.15</v>
      </c>
      <c r="J12" s="264" t="n">
        <v>0.07000000000000001</v>
      </c>
      <c r="K12" s="264" t="n">
        <v>0.15</v>
      </c>
      <c r="L12" s="264" t="n">
        <v>0.01</v>
      </c>
      <c r="M12" s="265">
        <f>参数!$B$2</f>
        <v/>
      </c>
      <c r="N12" s="227">
        <f>IF(C12="","",VLOOKUP($C12,箱规!$A$2:$S$23,14,FALSE))</f>
        <v/>
      </c>
      <c r="O12" s="227">
        <f>IF(C12="","",VLOOKUP($C12,箱规!$A$2:$S$23,5,FALSE))</f>
        <v/>
      </c>
      <c r="P12" s="227">
        <f>IF(C12="","",VLOOKUP($C12,箱规!$A$2:$S$23,6,FALSE))</f>
        <v/>
      </c>
      <c r="Q12" s="227">
        <f>IF(C12="","",VLOOKUP($C12,箱规!$A$2:$S$23,7,FALSE))</f>
        <v/>
      </c>
      <c r="R12" s="279">
        <f>IF(OR(N12="",O12="",P12="",Q12=""),"",MAX(N12*FBA规则!$B$6,(O12/FBA规则!$B$5)*(P12/FBA规则!$B$5)*(Q12/FBA规则!$B$5)/FBA规则!$B$7))</f>
        <v/>
      </c>
      <c r="S12" s="280">
        <f>IF(R12="","",IF(AND(N12*FBA规则!$B$6&lt;=1,MAX(O12,P12,Q12)/FBA规则!$B$5&lt;=15,MEDIAN(O12,P12,Q12)/FBA规则!$B$5&lt;=12,MIN(O12,P12,Q12)/FBA规则!$B$5&lt;=0.75),"小标准",IF(AND(R12&lt;=20,MAX(O12,P12,Q12)/FBA规则!$B$5&lt;=18,MEDIAN(O12,P12,Q12)/FBA规则!$B$5&lt;=14,MIN(O12,P12,Q12)/FBA规则!$B$5&lt;=8),"大标准",IF(AND(R12&lt;=50,MAX(O12,P12,Q12)/FBA规则!$B$5&lt;=59,MEDIAN(O12,P12,Q12)/FBA规则!$B$5&lt;=33,MIN(O12,P12,Q12)/FBA规则!$B$5&lt;=33,T12&lt;=130),"大件",IF(R12&lt;=50,"超大0-50lb",IF(R12&lt;=70,"超大50-70lb",IF(R12&lt;=150,"超大70-150lb","超大150lb+")))))))</f>
        <v/>
      </c>
      <c r="T12" s="279">
        <f>IF(OR(O12="",P12="",Q12=""),"",MAX(O12,P12,Q12)/FBA规则!$B$5+2*((MEDIAN(O12,P12,Q12)+MIN(O12,P12,Q12))/FBA规则!$B$5))</f>
        <v/>
      </c>
      <c r="U12" s="267">
        <f>参数!$B$15</f>
        <v/>
      </c>
      <c r="V12" s="268">
        <f>IF(OR(C12="",U12=""),"",(IF(OR(VLOOKUP($C12,箱规!$A$2:$S$23,4,FALSE)="",VLOOKUP($C12,箱规!$A$2:$S$23,4,FALSE)=0),VLOOKUP($C12,箱规!$A$2:$S$23,2,FALSE)*VLOOKUP($C12,箱规!$A$2:$S$23,3,FALSE)/10000,VLOOKUP($C12,箱规!$A$2:$S$23,4,FALSE)))*U12)</f>
        <v/>
      </c>
      <c r="W12" s="269" t="n"/>
      <c r="X12" s="270">
        <f>IF(AND(V12&lt;&gt;"",M12&lt;&gt;""),V12/M12,IF(AND(W12&lt;&gt;"",M12&lt;&gt;""),W12*1.13/M12,""))</f>
        <v/>
      </c>
      <c r="Y12" s="271">
        <f>IF(OR(X12="",G12=""),"",X12/G12)</f>
        <v/>
      </c>
      <c r="Z12" s="272" t="n"/>
      <c r="AA12" s="273">
        <f>IF(OR(D12="",D12=0),"",IF(BG12="陆运",IF(BL12="",0,BL12)/D12,IF(BG12="海运",IF(BK12="",0,BK12)/D12,IF(BG12="海运+陆运",(IF(BK12="",0,BK12)+IF(BL12="",0,BL12))/D12,IF(BK12="",0,BK12)/D12))))</f>
        <v/>
      </c>
      <c r="AB12" s="274">
        <f>IF(OR(S12="",R12="",参数!$B$23=""),"",IF(S12="小标准",IFERROR(INDEX(FBA规则!$B$58:$C$65,MATCH(N12*FBA规则!$B$6*16,FBA规则!$A$58:$A$65,1),IF(参数!$B$23="旺季",2,1)),INDEX(FBA规则!$B$65:$C$65,1,IF(参数!$B$23="旺季",2,1))),IF(S12="大标准",IF(R12&lt;=3,IFERROR(INDEX(FBA规则!$B$35:$C$46,MATCH(R12,FBA规则!$A$35:$A$46,1),IF(参数!$B$23="旺季",2,1)),INDEX(FBA规则!$B$46:$C$46,1,IF(参数!$B$23="旺季",2,1))),INDEX(FBA规则!$B$47:$C$47,1,IF(参数!$B$23="旺季",2,1))+FBA规则!$D$47*CEILING((R12-3)*4,1)),IF(S12="大件",INDEX(FBA规则!$B$50:$C$50,1,IF(参数!$B$23="旺季",2,1))+FBA规则!$D$50*MAX(0,CEILING(R12,1)-1),IF(S12="超大0-50lb",INDEX(FBA规则!$B$51:$C$51,1,IF(参数!$B$23="旺季",2,1))+FBA规则!$D$51*MAX(0,CEILING(R12,1)-1),IF(S12="超大50-70lb",INDEX(FBA规则!$B$52:$C$52,1,IF(参数!$B$23="旺季",2,1))+FBA规则!$D$52*MAX(0,R12-FBA规则!$F$52),IF(S12="超大70-150lb",INDEX(FBA规则!$B$53:$C$53,1,IF(参数!$B$23="旺季",2,1))+FBA规则!$D$53*MAX(0,R12-FBA规则!$F$53),INDEX(FBA规则!$B$54:$C$54,1,IF(参数!$B$23="旺季",2,1))+FBA规则!$D$54*MAX(0,R12-FBA规则!$F$54))))))))</f>
        <v/>
      </c>
      <c r="AC12" s="274">
        <f>IF(OR(G12="",I12=""),"",G12*I12)</f>
        <v/>
      </c>
      <c r="AD12" s="274">
        <f>IF(OR(G12="",J12=""),"",G12*J12)</f>
        <v/>
      </c>
      <c r="AE12" s="274">
        <f>IF(OR(G12="",K12=""),"",G12*K12)</f>
        <v/>
      </c>
      <c r="AF12" s="274">
        <f>IF(OR(G12="",L12=""),"",G12*L12)</f>
        <v/>
      </c>
      <c r="AG12" s="271" t="n">
        <v>0.02</v>
      </c>
      <c r="AH12" s="274">
        <f>IF(OR(G12="",AG12=""),"",G12*AG12)</f>
        <v/>
      </c>
      <c r="AI12" s="272" t="n"/>
      <c r="AJ12" s="274">
        <f>IF(X12="","",X12+IF(OR(AA12="",M12=""),0,AA12/M12)+SUM(AB12:AF12)+IF(AH12="",0,AH12)+IF(AI12="",0,AI12))</f>
        <v/>
      </c>
      <c r="AK12" s="274">
        <f>IF(X12="","",0.13*X12/1.13)</f>
        <v/>
      </c>
      <c r="AL12" s="274">
        <f>IF(OR(G12="",AJ12=""),"",G12+AK12-AJ12)</f>
        <v/>
      </c>
      <c r="AM12" s="271">
        <f>IF(OR(AL12="",G12=""),"",AL12/G12)</f>
        <v/>
      </c>
      <c r="AN12" s="224">
        <f>IF(OR(X12="",H12=""),"",X12/H12)</f>
        <v/>
      </c>
      <c r="AO12" s="225" t="n"/>
      <c r="AP12" s="275">
        <f>AA12</f>
        <v/>
      </c>
      <c r="AQ12" s="223">
        <f>IF(OR(S12="",R12="",参数!$B$23=""),"",IF(S12="小标准",IFERROR(INDEX(FBA规则!$B$58:$C$65,MATCH(N12*FBA规则!$B$6*16,FBA规则!$A$58:$A$65,1),IF(参数!$B$23="旺季",2,1)),INDEX(FBA规则!$B$65:$C$65,1,IF(参数!$B$23="旺季",2,1))),IF(S12="大标准",IF(R12&lt;=3,IFERROR(INDEX(FBA规则!$B$35:$C$46,MATCH(R12,FBA规则!$A$35:$A$46,1),IF(参数!$B$23="旺季",2,1)),INDEX(FBA规则!$B$46:$C$46,1,IF(参数!$B$23="旺季",2,1))),INDEX(FBA规则!$B$47:$C$47,1,IF(参数!$B$23="旺季",2,1))+FBA规则!$D$47*CEILING((R12-3)*4,1)),IF(S12="大件",INDEX(FBA规则!$B$50:$C$50,1,IF(参数!$B$23="旺季",2,1))+FBA规则!$D$50*MAX(0,CEILING(R12,1)-1),IF(S12="超大0-50lb",INDEX(FBA规则!$B$51:$C$51,1,IF(参数!$B$23="旺季",2,1))+FBA规则!$D$51*MAX(0,CEILING(R12,1)-1),IF(S12="超大50-70lb",INDEX(FBA规则!$B$52:$C$52,1,IF(参数!$B$23="旺季",2,1))+FBA规则!$D$52*MAX(0,R12-FBA规则!$F$52),IF(S12="超大70-150lb",INDEX(FBA规则!$B$53:$C$53,1,IF(参数!$B$23="旺季",2,1))+FBA规则!$D$53*MAX(0,R12-FBA规则!$F$53),INDEX(FBA规则!$B$54:$C$54,1,IF(参数!$B$23="旺季",2,1))+FBA规则!$D$54*MAX(0,R12-FBA规则!$F$54))))))))</f>
        <v/>
      </c>
      <c r="AR12" s="223">
        <f>IF(OR(H12="",I12=""),"",H12*I12)</f>
        <v/>
      </c>
      <c r="AS12" s="223">
        <f>IF(OR(H12="",J12=""),"",H12*J12)</f>
        <v/>
      </c>
      <c r="AT12" s="223">
        <f>IF(OR(H12="",K12=""),"",H12*K12)</f>
        <v/>
      </c>
      <c r="AU12" s="223">
        <f>IF(OR(H12="",L12=""),"",H12*L12)</f>
        <v/>
      </c>
      <c r="AV12" s="224" t="n">
        <v>0.02</v>
      </c>
      <c r="AW12" s="223">
        <f>IF(OR(H12="",AV12=""),"",H12*AV12)</f>
        <v/>
      </c>
      <c r="AX12" s="225" t="n"/>
      <c r="AY12" s="223">
        <f>IF(X12="","",X12+IF(OR(AP12="",M12=""),0,AP12/M12)+SUM(AQ12:AU12)+IF(AW12="",0,AW12)+IF(AX12="",0,AX12))</f>
        <v/>
      </c>
      <c r="AZ12" s="223">
        <f>IF(X12="","",0.13*X12/1.13)</f>
        <v/>
      </c>
      <c r="BA12" s="223">
        <f>IF(OR(H12="",AY12=""),"",H12+AZ12-AY12)</f>
        <v/>
      </c>
      <c r="BB12" s="224">
        <f>IF(OR(BA12="",H12=""),"",BA12/H12)</f>
        <v/>
      </c>
      <c r="BC12" s="223">
        <f>IF(OR(H12="",AY12=""),"",H12-AY12)</f>
        <v/>
      </c>
      <c r="BD12" s="224">
        <f>IF(OR(BC12="",H12=""),"",BC12/H12)</f>
        <v/>
      </c>
      <c r="BE12" s="205" t="inlineStr">
        <is>
          <t>义乌</t>
        </is>
      </c>
      <c r="BF12" s="231" t="inlineStr">
        <is>
          <t>ABE8</t>
        </is>
      </c>
      <c r="BG12" s="205" t="inlineStr">
        <is>
          <t>海运</t>
        </is>
      </c>
      <c r="BH12" s="226" t="inlineStr">
        <is>
          <t>（最低价）</t>
        </is>
      </c>
      <c r="BI12" s="227">
        <f>IF(OR(BE12="",BF12=""),"",IF(AND(BH12&lt;&gt;"",BH12&lt;&gt;"（最低价）"),IFERROR(IF(SUMIFS(海运报价!$F$2:$F$2000,海运报价!$C$2:$C$2000,BH12,海运报价!$D$2:$D$2000,BE12,海运报价!$E$2:$E$2000,BF12)=0,"",SUMIFS(海运报价!$F$2:$F$2000,海运报价!$C$2:$C$2000,BH12,海运报价!$D$2:$D$2000,BE12,海运报价!$E$2:$E$2000,BF12)),""),IFERROR(IF(SUMIFS(海运下拉!$H$2:$H$311,海运下拉!$F$2:$F$311,BE12,海运下拉!$G$2:$G$311,BF12)=0,"",SUMIFS(海运下拉!$H$2:$H$311,海运下拉!$F$2:$F$311,BE12,海运下拉!$G$2:$G$311,BF12)),"")))</f>
        <v/>
      </c>
      <c r="BJ12" s="227">
        <f>IF(C12="","",VLOOKUP($C12,箱规!$A$2:$S$23,18,FALSE))</f>
        <v/>
      </c>
      <c r="BK12" s="228">
        <f>IF(OR(BI12="",BJ12=""),"",BJ12*(BI12+IF(AND(BH12&lt;&gt;"",BH12&lt;&gt;"（最低价）"),IFERROR(AVERAGEIFS(海运报价!$H$2:$H$2000,海运报价!$C$2:$C$2000,BH12,海运报价!$D$2:$D$2000,BE12,海运报价!$E$2:$E$2000,BF12),0),IFERROR(SUMIFS(海运下拉!$J$2:$J$311,海运下拉!$F$2:$F$311,BE12,海运下拉!$G$2:$G$311,BF12),0))))</f>
        <v/>
      </c>
      <c r="BL12" s="247" t="n"/>
      <c r="BM12" s="229">
        <f>IF(OR(BE12="",BF12=""),"请选起运地+FBA仓",IF(AND(AND(BH12&lt;&gt;"",BH12&lt;&gt;"（最低价）"),BI12=""),"⚠该渠道不服务此仓：请重选渠道，或选「（最低价）」",IF(BI12="","无报价：请换起运地/仓库",IF(AND(BH12&lt;&gt;"",BH12&lt;&gt;"（最低价）"),"按你选的渠道「"&amp;BH12&amp;"」计价","按最低价「"&amp;IFERROR(SUMIFS(海运下拉!$I$2:$I$311,海运下拉!$F$2:$F$311,BE12,海运下拉!$G$2:$G$311,BF12),"")&amp;"」（渠道默认最低价）"))))</f>
        <v/>
      </c>
      <c r="BO12" s="1">
        <f>IF(OR($BE12="",$BF12=""),"",IFERROR(INDEX(海运报价!$C$2:$C$2000,AGGREGATE(15,6,(ROW(海运报价!$C$2:$C$2000)-ROW(海运报价!$C$2)+1)/((海运报价!$D$2:$D$2000=$BE12)*(海运报价!$E$2:$E$2000=$BF12)),1)),""))</f>
        <v/>
      </c>
      <c r="BP12" s="1">
        <f>IF(OR($BE12="",$BF12=""),"",IFERROR(INDEX(海运报价!$C$2:$C$2000,AGGREGATE(15,6,(ROW(海运报价!$C$2:$C$2000)-ROW(海运报价!$C$2)+1)/((海运报价!$D$2:$D$2000=$BE12)*(海运报价!$E$2:$E$2000=$BF12)),2)),""))</f>
        <v/>
      </c>
      <c r="BQ12" s="1">
        <f>IF(OR($BE12="",$BF12=""),"",IFERROR(INDEX(海运报价!$C$2:$C$2000,AGGREGATE(15,6,(ROW(海运报价!$C$2:$C$2000)-ROW(海运报价!$C$2)+1)/((海运报价!$D$2:$D$2000=$BE12)*(海运报价!$E$2:$E$2000=$BF12)),3)),""))</f>
        <v/>
      </c>
      <c r="BR12" s="1">
        <f>IF(OR($BE12="",$BF12=""),"",IFERROR(INDEX(海运报价!$C$2:$C$2000,AGGREGATE(15,6,(ROW(海运报价!$C$2:$C$2000)-ROW(海运报价!$C$2)+1)/((海运报价!$D$2:$D$2000=$BE12)*(海运报价!$E$2:$E$2000=$BF12)),4)),""))</f>
        <v/>
      </c>
      <c r="BS12" s="1">
        <f>IF(OR($BE12="",$BF12=""),"",IFERROR(INDEX(海运报价!$C$2:$C$2000,AGGREGATE(15,6,(ROW(海运报价!$C$2:$C$2000)-ROW(海运报价!$C$2)+1)/((海运报价!$D$2:$D$2000=$BE12)*(海运报价!$E$2:$E$2000=$BF12)),5)),""))</f>
        <v/>
      </c>
      <c r="BT12" s="1">
        <f>IF(OR($BE12="",$BF12=""),"",IFERROR(INDEX(海运报价!$C$2:$C$2000,AGGREGATE(15,6,(ROW(海运报价!$C$2:$C$2000)-ROW(海运报价!$C$2)+1)/((海运报价!$D$2:$D$2000=$BE12)*(海运报价!$E$2:$E$2000=$BF12)),6)),""))</f>
        <v/>
      </c>
      <c r="BU12" s="1">
        <f>IF(OR($BE12="",$BF12=""),"",IFERROR(INDEX(海运报价!$C$2:$C$2000,AGGREGATE(15,6,(ROW(海运报价!$C$2:$C$2000)-ROW(海运报价!$C$2)+1)/((海运报价!$D$2:$D$2000=$BE12)*(海运报价!$E$2:$E$2000=$BF12)),7)),""))</f>
        <v/>
      </c>
      <c r="BV12" s="1">
        <f>IF(OR($BE12="",$BF12=""),"",IFERROR(INDEX(海运报价!$C$2:$C$2000,AGGREGATE(15,6,(ROW(海运报价!$C$2:$C$2000)-ROW(海运报价!$C$2)+1)/((海运报价!$D$2:$D$2000=$BE12)*(海运报价!$E$2:$E$2000=$BF12)),8)),""))</f>
        <v/>
      </c>
      <c r="BW12" s="1">
        <f>IF(OR($BE12="",$BF12=""),"",IFERROR(INDEX(海运报价!$C$2:$C$2000,AGGREGATE(15,6,(ROW(海运报价!$C$2:$C$2000)-ROW(海运报价!$C$2)+1)/((海运报价!$D$2:$D$2000=$BE12)*(海运报价!$E$2:$E$2000=$BF12)),9)),""))</f>
        <v/>
      </c>
      <c r="BX12" s="1">
        <f>IF(OR($BE12="",$BF12=""),"",IFERROR(INDEX(海运报价!$C$2:$C$2000,AGGREGATE(15,6,(ROW(海运报价!$C$2:$C$2000)-ROW(海运报价!$C$2)+1)/((海运报价!$D$2:$D$2000=$BE12)*(海运报价!$E$2:$E$2000=$BF12)),10)),""))</f>
        <v/>
      </c>
      <c r="BY12" s="1">
        <f>IF(OR($BE12="",$BF12=""),"",IFERROR(INDEX(海运报价!$C$2:$C$2000,AGGREGATE(15,6,(ROW(海运报价!$C$2:$C$2000)-ROW(海运报价!$C$2)+1)/((海运报价!$D$2:$D$2000=$BE12)*(海运报价!$E$2:$E$2000=$BF12)),11)),""))</f>
        <v/>
      </c>
      <c r="BZ12" s="1">
        <f>IF(OR($BE12="",$BF12=""),"",IFERROR(INDEX(海运报价!$C$2:$C$2000,AGGREGATE(15,6,(ROW(海运报价!$C$2:$C$2000)-ROW(海运报价!$C$2)+1)/((海运报价!$D$2:$D$2000=$BE12)*(海运报价!$E$2:$E$2000=$BF12)),12)),""))</f>
        <v/>
      </c>
      <c r="CA12" s="1">
        <f>IF(OR($BE12="",$BF12=""),"",IFERROR(INDEX(海运报价!$C$2:$C$2000,AGGREGATE(15,6,(ROW(海运报价!$C$2:$C$2000)-ROW(海运报价!$C$2)+1)/((海运报价!$D$2:$D$2000=$BE12)*(海运报价!$E$2:$E$2000=$BF12)),13)),""))</f>
        <v/>
      </c>
      <c r="CB12" s="1">
        <f>IF(OR($BE12="",$BF12=""),"",IFERROR(INDEX(海运报价!$C$2:$C$2000,AGGREGATE(15,6,(ROW(海运报价!$C$2:$C$2000)-ROW(海运报价!$C$2)+1)/((海运报价!$D$2:$D$2000=$BE12)*(海运报价!$E$2:$E$2000=$BF12)),14)),""))</f>
        <v/>
      </c>
      <c r="CC12" s="1">
        <f>IF(OR($BE12="",$BF12=""),"",IFERROR(INDEX(海运报价!$C$2:$C$2000,AGGREGATE(15,6,(ROW(海运报价!$C$2:$C$2000)-ROW(海运报价!$C$2)+1)/((海运报价!$D$2:$D$2000=$BE12)*(海运报价!$E$2:$E$2000=$BF12)),15)),""))</f>
        <v/>
      </c>
      <c r="CD12" s="119">
        <f>IF(OR(X12="",M12=""),"",X12+IF(OR(AA12="",M12=""),0,AA12/M12)+IF(AB12="",0,AB12)+IF(AI12="",0,AI12)+IF(Z12="",0,Z12))</f>
        <v/>
      </c>
      <c r="CE12" s="142">
        <f>I12+J12+K12+L12+AG12</f>
        <v/>
      </c>
    </row>
    <row r="13">
      <c r="B13" s="231" t="n"/>
      <c r="C13" s="231" t="inlineStr">
        <is>
          <t>6'9'</t>
        </is>
      </c>
      <c r="D13" s="206">
        <f>IF(C13="","",VLOOKUP($C13,箱规!$A$2:$S$23,9,FALSE))</f>
        <v/>
      </c>
      <c r="E13" s="231" t="n"/>
      <c r="F13" s="180" t="n"/>
      <c r="G13" s="170">
        <f>IF(OR(CD13="",CE13="",CE13&gt;=1,X13=""),"",ROUNDUP((CD13-0.13*X13/1.13)/(1-CE13),2))</f>
        <v/>
      </c>
      <c r="H13" s="169">
        <f>IF(OR(CD13="",CE13="",X13=""),"",IF((1-CE13-参数!$B$16)&lt;=0,"费率过高",ROUND((CD13-0.13*X13/1.13)/(1-CE13-参数!$B$16),2)))</f>
        <v/>
      </c>
      <c r="I13" s="264" t="n">
        <v>0.15</v>
      </c>
      <c r="J13" s="264" t="n">
        <v>0.07000000000000001</v>
      </c>
      <c r="K13" s="264" t="n">
        <v>0.15</v>
      </c>
      <c r="L13" s="264" t="n">
        <v>0.01</v>
      </c>
      <c r="M13" s="265">
        <f>参数!$B$2</f>
        <v/>
      </c>
      <c r="N13" s="227">
        <f>IF(C13="","",VLOOKUP($C13,箱规!$A$2:$S$23,14,FALSE))</f>
        <v/>
      </c>
      <c r="O13" s="227">
        <f>IF(C13="","",VLOOKUP($C13,箱规!$A$2:$S$23,5,FALSE))</f>
        <v/>
      </c>
      <c r="P13" s="227">
        <f>IF(C13="","",VLOOKUP($C13,箱规!$A$2:$S$23,6,FALSE))</f>
        <v/>
      </c>
      <c r="Q13" s="227">
        <f>IF(C13="","",VLOOKUP($C13,箱规!$A$2:$S$23,7,FALSE))</f>
        <v/>
      </c>
      <c r="R13" s="279">
        <f>IF(OR(N13="",O13="",P13="",Q13=""),"",MAX(N13*FBA规则!$B$6,(O13/FBA规则!$B$5)*(P13/FBA规则!$B$5)*(Q13/FBA规则!$B$5)/FBA规则!$B$7))</f>
        <v/>
      </c>
      <c r="S13" s="280">
        <f>IF(R13="","",IF(AND(N13*FBA规则!$B$6&lt;=1,MAX(O13,P13,Q13)/FBA规则!$B$5&lt;=15,MEDIAN(O13,P13,Q13)/FBA规则!$B$5&lt;=12,MIN(O13,P13,Q13)/FBA规则!$B$5&lt;=0.75),"小标准",IF(AND(R13&lt;=20,MAX(O13,P13,Q13)/FBA规则!$B$5&lt;=18,MEDIAN(O13,P13,Q13)/FBA规则!$B$5&lt;=14,MIN(O13,P13,Q13)/FBA规则!$B$5&lt;=8),"大标准",IF(AND(R13&lt;=50,MAX(O13,P13,Q13)/FBA规则!$B$5&lt;=59,MEDIAN(O13,P13,Q13)/FBA规则!$B$5&lt;=33,MIN(O13,P13,Q13)/FBA规则!$B$5&lt;=33,T13&lt;=130),"大件",IF(R13&lt;=50,"超大0-50lb",IF(R13&lt;=70,"超大50-70lb",IF(R13&lt;=150,"超大70-150lb","超大150lb+")))))))</f>
        <v/>
      </c>
      <c r="T13" s="279">
        <f>IF(OR(O13="",P13="",Q13=""),"",MAX(O13,P13,Q13)/FBA规则!$B$5+2*((MEDIAN(O13,P13,Q13)+MIN(O13,P13,Q13))/FBA规则!$B$5))</f>
        <v/>
      </c>
      <c r="U13" s="267">
        <f>参数!$B$15</f>
        <v/>
      </c>
      <c r="V13" s="268">
        <f>IF(OR(C13="",U13=""),"",(IF(OR(VLOOKUP($C13,箱规!$A$2:$S$23,4,FALSE)="",VLOOKUP($C13,箱规!$A$2:$S$23,4,FALSE)=0),VLOOKUP($C13,箱规!$A$2:$S$23,2,FALSE)*VLOOKUP($C13,箱规!$A$2:$S$23,3,FALSE)/10000,VLOOKUP($C13,箱规!$A$2:$S$23,4,FALSE)))*U13)</f>
        <v/>
      </c>
      <c r="W13" s="269" t="n"/>
      <c r="X13" s="270">
        <f>IF(AND(V13&lt;&gt;"",M13&lt;&gt;""),V13/M13,IF(AND(W13&lt;&gt;"",M13&lt;&gt;""),W13*1.13/M13,""))</f>
        <v/>
      </c>
      <c r="Y13" s="271">
        <f>IF(OR(X13="",G13=""),"",X13/G13)</f>
        <v/>
      </c>
      <c r="Z13" s="272" t="n"/>
      <c r="AA13" s="273">
        <f>IF(OR(D13="",D13=0),"",IF(BG13="陆运",IF(BL13="",0,BL13)/D13,IF(BG13="海运",IF(BK13="",0,BK13)/D13,IF(BG13="海运+陆运",(IF(BK13="",0,BK13)+IF(BL13="",0,BL13))/D13,IF(BK13="",0,BK13)/D13))))</f>
        <v/>
      </c>
      <c r="AB13" s="274">
        <f>IF(OR(S13="",R13="",参数!$B$23=""),"",IF(S13="小标准",IFERROR(INDEX(FBA规则!$B$58:$C$65,MATCH(N13*FBA规则!$B$6*16,FBA规则!$A$58:$A$65,1),IF(参数!$B$23="旺季",2,1)),INDEX(FBA规则!$B$65:$C$65,1,IF(参数!$B$23="旺季",2,1))),IF(S13="大标准",IF(R13&lt;=3,IFERROR(INDEX(FBA规则!$B$35:$C$46,MATCH(R13,FBA规则!$A$35:$A$46,1),IF(参数!$B$23="旺季",2,1)),INDEX(FBA规则!$B$46:$C$46,1,IF(参数!$B$23="旺季",2,1))),INDEX(FBA规则!$B$47:$C$47,1,IF(参数!$B$23="旺季",2,1))+FBA规则!$D$47*CEILING((R13-3)*4,1)),IF(S13="大件",INDEX(FBA规则!$B$50:$C$50,1,IF(参数!$B$23="旺季",2,1))+FBA规则!$D$50*MAX(0,CEILING(R13,1)-1),IF(S13="超大0-50lb",INDEX(FBA规则!$B$51:$C$51,1,IF(参数!$B$23="旺季",2,1))+FBA规则!$D$51*MAX(0,CEILING(R13,1)-1),IF(S13="超大50-70lb",INDEX(FBA规则!$B$52:$C$52,1,IF(参数!$B$23="旺季",2,1))+FBA规则!$D$52*MAX(0,R13-FBA规则!$F$52),IF(S13="超大70-150lb",INDEX(FBA规则!$B$53:$C$53,1,IF(参数!$B$23="旺季",2,1))+FBA规则!$D$53*MAX(0,R13-FBA规则!$F$53),INDEX(FBA规则!$B$54:$C$54,1,IF(参数!$B$23="旺季",2,1))+FBA规则!$D$54*MAX(0,R13-FBA规则!$F$54))))))))</f>
        <v/>
      </c>
      <c r="AC13" s="274">
        <f>IF(OR(G13="",I13=""),"",G13*I13)</f>
        <v/>
      </c>
      <c r="AD13" s="274">
        <f>IF(OR(G13="",J13=""),"",G13*J13)</f>
        <v/>
      </c>
      <c r="AE13" s="274">
        <f>IF(OR(G13="",K13=""),"",G13*K13)</f>
        <v/>
      </c>
      <c r="AF13" s="274">
        <f>IF(OR(G13="",L13=""),"",G13*L13)</f>
        <v/>
      </c>
      <c r="AG13" s="271" t="n">
        <v>0.02</v>
      </c>
      <c r="AH13" s="274">
        <f>IF(OR(G13="",AG13=""),"",G13*AG13)</f>
        <v/>
      </c>
      <c r="AI13" s="272" t="n"/>
      <c r="AJ13" s="274">
        <f>IF(X13="","",X13+IF(OR(AA13="",M13=""),0,AA13/M13)+SUM(AB13:AF13)+IF(AH13="",0,AH13)+IF(AI13="",0,AI13))</f>
        <v/>
      </c>
      <c r="AK13" s="274">
        <f>IF(X13="","",0.13*X13/1.13)</f>
        <v/>
      </c>
      <c r="AL13" s="274">
        <f>IF(OR(G13="",AJ13=""),"",G13+AK13-AJ13)</f>
        <v/>
      </c>
      <c r="AM13" s="271">
        <f>IF(OR(AL13="",G13=""),"",AL13/G13)</f>
        <v/>
      </c>
      <c r="AN13" s="224">
        <f>IF(OR(X13="",H13=""),"",X13/H13)</f>
        <v/>
      </c>
      <c r="AO13" s="225" t="n"/>
      <c r="AP13" s="275">
        <f>AA13</f>
        <v/>
      </c>
      <c r="AQ13" s="223">
        <f>IF(OR(S13="",R13="",参数!$B$23=""),"",IF(S13="小标准",IFERROR(INDEX(FBA规则!$B$58:$C$65,MATCH(N13*FBA规则!$B$6*16,FBA规则!$A$58:$A$65,1),IF(参数!$B$23="旺季",2,1)),INDEX(FBA规则!$B$65:$C$65,1,IF(参数!$B$23="旺季",2,1))),IF(S13="大标准",IF(R13&lt;=3,IFERROR(INDEX(FBA规则!$B$35:$C$46,MATCH(R13,FBA规则!$A$35:$A$46,1),IF(参数!$B$23="旺季",2,1)),INDEX(FBA规则!$B$46:$C$46,1,IF(参数!$B$23="旺季",2,1))),INDEX(FBA规则!$B$47:$C$47,1,IF(参数!$B$23="旺季",2,1))+FBA规则!$D$47*CEILING((R13-3)*4,1)),IF(S13="大件",INDEX(FBA规则!$B$50:$C$50,1,IF(参数!$B$23="旺季",2,1))+FBA规则!$D$50*MAX(0,CEILING(R13,1)-1),IF(S13="超大0-50lb",INDEX(FBA规则!$B$51:$C$51,1,IF(参数!$B$23="旺季",2,1))+FBA规则!$D$51*MAX(0,CEILING(R13,1)-1),IF(S13="超大50-70lb",INDEX(FBA规则!$B$52:$C$52,1,IF(参数!$B$23="旺季",2,1))+FBA规则!$D$52*MAX(0,R13-FBA规则!$F$52),IF(S13="超大70-150lb",INDEX(FBA规则!$B$53:$C$53,1,IF(参数!$B$23="旺季",2,1))+FBA规则!$D$53*MAX(0,R13-FBA规则!$F$53),INDEX(FBA规则!$B$54:$C$54,1,IF(参数!$B$23="旺季",2,1))+FBA规则!$D$54*MAX(0,R13-FBA规则!$F$54))))))))</f>
        <v/>
      </c>
      <c r="AR13" s="223">
        <f>IF(OR(H13="",I13=""),"",H13*I13)</f>
        <v/>
      </c>
      <c r="AS13" s="223">
        <f>IF(OR(H13="",J13=""),"",H13*J13)</f>
        <v/>
      </c>
      <c r="AT13" s="223">
        <f>IF(OR(H13="",K13=""),"",H13*K13)</f>
        <v/>
      </c>
      <c r="AU13" s="223">
        <f>IF(OR(H13="",L13=""),"",H13*L13)</f>
        <v/>
      </c>
      <c r="AV13" s="224" t="n">
        <v>0.02</v>
      </c>
      <c r="AW13" s="223">
        <f>IF(OR(H13="",AV13=""),"",H13*AV13)</f>
        <v/>
      </c>
      <c r="AX13" s="225" t="n"/>
      <c r="AY13" s="223">
        <f>IF(X13="","",X13+IF(OR(AP13="",M13=""),0,AP13/M13)+SUM(AQ13:AU13)+IF(AW13="",0,AW13)+IF(AX13="",0,AX13))</f>
        <v/>
      </c>
      <c r="AZ13" s="223">
        <f>IF(X13="","",0.13*X13/1.13)</f>
        <v/>
      </c>
      <c r="BA13" s="223">
        <f>IF(OR(H13="",AY13=""),"",H13+AZ13-AY13)</f>
        <v/>
      </c>
      <c r="BB13" s="224">
        <f>IF(OR(BA13="",H13=""),"",BA13/H13)</f>
        <v/>
      </c>
      <c r="BC13" s="223">
        <f>IF(OR(H13="",AY13=""),"",H13-AY13)</f>
        <v/>
      </c>
      <c r="BD13" s="224">
        <f>IF(OR(BC13="",H13=""),"",BC13/H13)</f>
        <v/>
      </c>
      <c r="BE13" s="205" t="inlineStr">
        <is>
          <t>义乌</t>
        </is>
      </c>
      <c r="BF13" s="231" t="inlineStr">
        <is>
          <t>ABE8</t>
        </is>
      </c>
      <c r="BG13" s="205" t="inlineStr">
        <is>
          <t>海运</t>
        </is>
      </c>
      <c r="BH13" s="226" t="inlineStr">
        <is>
          <t>（最低价）</t>
        </is>
      </c>
      <c r="BI13" s="227">
        <f>IF(OR(BE13="",BF13=""),"",IF(AND(BH13&lt;&gt;"",BH13&lt;&gt;"（最低价）"),IFERROR(IF(SUMIFS(海运报价!$F$2:$F$2000,海运报价!$C$2:$C$2000,BH13,海运报价!$D$2:$D$2000,BE13,海运报价!$E$2:$E$2000,BF13)=0,"",SUMIFS(海运报价!$F$2:$F$2000,海运报价!$C$2:$C$2000,BH13,海运报价!$D$2:$D$2000,BE13,海运报价!$E$2:$E$2000,BF13)),""),IFERROR(IF(SUMIFS(海运下拉!$H$2:$H$311,海运下拉!$F$2:$F$311,BE13,海运下拉!$G$2:$G$311,BF13)=0,"",SUMIFS(海运下拉!$H$2:$H$311,海运下拉!$F$2:$F$311,BE13,海运下拉!$G$2:$G$311,BF13)),"")))</f>
        <v/>
      </c>
      <c r="BJ13" s="227">
        <f>IF(C13="","",VLOOKUP($C13,箱规!$A$2:$S$23,18,FALSE))</f>
        <v/>
      </c>
      <c r="BK13" s="228">
        <f>IF(OR(BI13="",BJ13=""),"",BJ13*(BI13+IF(AND(BH13&lt;&gt;"",BH13&lt;&gt;"（最低价）"),IFERROR(AVERAGEIFS(海运报价!$H$2:$H$2000,海运报价!$C$2:$C$2000,BH13,海运报价!$D$2:$D$2000,BE13,海运报价!$E$2:$E$2000,BF13),0),IFERROR(SUMIFS(海运下拉!$J$2:$J$311,海运下拉!$F$2:$F$311,BE13,海运下拉!$G$2:$G$311,BF13),0))))</f>
        <v/>
      </c>
      <c r="BL13" s="247" t="n"/>
      <c r="BM13" s="229">
        <f>IF(OR(BE13="",BF13=""),"请选起运地+FBA仓",IF(AND(AND(BH13&lt;&gt;"",BH13&lt;&gt;"（最低价）"),BI13=""),"⚠该渠道不服务此仓：请重选渠道，或选「（最低价）」",IF(BI13="","无报价：请换起运地/仓库",IF(AND(BH13&lt;&gt;"",BH13&lt;&gt;"（最低价）"),"按你选的渠道「"&amp;BH13&amp;"」计价","按最低价「"&amp;IFERROR(SUMIFS(海运下拉!$I$2:$I$311,海运下拉!$F$2:$F$311,BE13,海运下拉!$G$2:$G$311,BF13),"")&amp;"」（渠道默认最低价）"))))</f>
        <v/>
      </c>
      <c r="BO13" s="1">
        <f>IF(OR($BE13="",$BF13=""),"",IFERROR(INDEX(海运报价!$C$2:$C$2000,AGGREGATE(15,6,(ROW(海运报价!$C$2:$C$2000)-ROW(海运报价!$C$2)+1)/((海运报价!$D$2:$D$2000=$BE13)*(海运报价!$E$2:$E$2000=$BF13)),1)),""))</f>
        <v/>
      </c>
      <c r="BP13" s="1">
        <f>IF(OR($BE13="",$BF13=""),"",IFERROR(INDEX(海运报价!$C$2:$C$2000,AGGREGATE(15,6,(ROW(海运报价!$C$2:$C$2000)-ROW(海运报价!$C$2)+1)/((海运报价!$D$2:$D$2000=$BE13)*(海运报价!$E$2:$E$2000=$BF13)),2)),""))</f>
        <v/>
      </c>
      <c r="BQ13" s="1">
        <f>IF(OR($BE13="",$BF13=""),"",IFERROR(INDEX(海运报价!$C$2:$C$2000,AGGREGATE(15,6,(ROW(海运报价!$C$2:$C$2000)-ROW(海运报价!$C$2)+1)/((海运报价!$D$2:$D$2000=$BE13)*(海运报价!$E$2:$E$2000=$BF13)),3)),""))</f>
        <v/>
      </c>
      <c r="BR13" s="1">
        <f>IF(OR($BE13="",$BF13=""),"",IFERROR(INDEX(海运报价!$C$2:$C$2000,AGGREGATE(15,6,(ROW(海运报价!$C$2:$C$2000)-ROW(海运报价!$C$2)+1)/((海运报价!$D$2:$D$2000=$BE13)*(海运报价!$E$2:$E$2000=$BF13)),4)),""))</f>
        <v/>
      </c>
      <c r="BS13" s="1">
        <f>IF(OR($BE13="",$BF13=""),"",IFERROR(INDEX(海运报价!$C$2:$C$2000,AGGREGATE(15,6,(ROW(海运报价!$C$2:$C$2000)-ROW(海运报价!$C$2)+1)/((海运报价!$D$2:$D$2000=$BE13)*(海运报价!$E$2:$E$2000=$BF13)),5)),""))</f>
        <v/>
      </c>
      <c r="BT13" s="1">
        <f>IF(OR($BE13="",$BF13=""),"",IFERROR(INDEX(海运报价!$C$2:$C$2000,AGGREGATE(15,6,(ROW(海运报价!$C$2:$C$2000)-ROW(海运报价!$C$2)+1)/((海运报价!$D$2:$D$2000=$BE13)*(海运报价!$E$2:$E$2000=$BF13)),6)),""))</f>
        <v/>
      </c>
      <c r="BU13" s="1">
        <f>IF(OR($BE13="",$BF13=""),"",IFERROR(INDEX(海运报价!$C$2:$C$2000,AGGREGATE(15,6,(ROW(海运报价!$C$2:$C$2000)-ROW(海运报价!$C$2)+1)/((海运报价!$D$2:$D$2000=$BE13)*(海运报价!$E$2:$E$2000=$BF13)),7)),""))</f>
        <v/>
      </c>
      <c r="BV13" s="1">
        <f>IF(OR($BE13="",$BF13=""),"",IFERROR(INDEX(海运报价!$C$2:$C$2000,AGGREGATE(15,6,(ROW(海运报价!$C$2:$C$2000)-ROW(海运报价!$C$2)+1)/((海运报价!$D$2:$D$2000=$BE13)*(海运报价!$E$2:$E$2000=$BF13)),8)),""))</f>
        <v/>
      </c>
      <c r="BW13" s="1">
        <f>IF(OR($BE13="",$BF13=""),"",IFERROR(INDEX(海运报价!$C$2:$C$2000,AGGREGATE(15,6,(ROW(海运报价!$C$2:$C$2000)-ROW(海运报价!$C$2)+1)/((海运报价!$D$2:$D$2000=$BE13)*(海运报价!$E$2:$E$2000=$BF13)),9)),""))</f>
        <v/>
      </c>
      <c r="BX13" s="1">
        <f>IF(OR($BE13="",$BF13=""),"",IFERROR(INDEX(海运报价!$C$2:$C$2000,AGGREGATE(15,6,(ROW(海运报价!$C$2:$C$2000)-ROW(海运报价!$C$2)+1)/((海运报价!$D$2:$D$2000=$BE13)*(海运报价!$E$2:$E$2000=$BF13)),10)),""))</f>
        <v/>
      </c>
      <c r="BY13" s="1">
        <f>IF(OR($BE13="",$BF13=""),"",IFERROR(INDEX(海运报价!$C$2:$C$2000,AGGREGATE(15,6,(ROW(海运报价!$C$2:$C$2000)-ROW(海运报价!$C$2)+1)/((海运报价!$D$2:$D$2000=$BE13)*(海运报价!$E$2:$E$2000=$BF13)),11)),""))</f>
        <v/>
      </c>
      <c r="BZ13" s="1">
        <f>IF(OR($BE13="",$BF13=""),"",IFERROR(INDEX(海运报价!$C$2:$C$2000,AGGREGATE(15,6,(ROW(海运报价!$C$2:$C$2000)-ROW(海运报价!$C$2)+1)/((海运报价!$D$2:$D$2000=$BE13)*(海运报价!$E$2:$E$2000=$BF13)),12)),""))</f>
        <v/>
      </c>
      <c r="CA13" s="1">
        <f>IF(OR($BE13="",$BF13=""),"",IFERROR(INDEX(海运报价!$C$2:$C$2000,AGGREGATE(15,6,(ROW(海运报价!$C$2:$C$2000)-ROW(海运报价!$C$2)+1)/((海运报价!$D$2:$D$2000=$BE13)*(海运报价!$E$2:$E$2000=$BF13)),13)),""))</f>
        <v/>
      </c>
      <c r="CB13" s="1">
        <f>IF(OR($BE13="",$BF13=""),"",IFERROR(INDEX(海运报价!$C$2:$C$2000,AGGREGATE(15,6,(ROW(海运报价!$C$2:$C$2000)-ROW(海运报价!$C$2)+1)/((海运报价!$D$2:$D$2000=$BE13)*(海运报价!$E$2:$E$2000=$BF13)),14)),""))</f>
        <v/>
      </c>
      <c r="CC13" s="1">
        <f>IF(OR($BE13="",$BF13=""),"",IFERROR(INDEX(海运报价!$C$2:$C$2000,AGGREGATE(15,6,(ROW(海运报价!$C$2:$C$2000)-ROW(海运报价!$C$2)+1)/((海运报价!$D$2:$D$2000=$BE13)*(海运报价!$E$2:$E$2000=$BF13)),15)),""))</f>
        <v/>
      </c>
      <c r="CD13" s="119">
        <f>IF(OR(X13="",M13=""),"",X13+IF(OR(AA13="",M13=""),0,AA13/M13)+IF(AB13="",0,AB13)+IF(AI13="",0,AI13)+IF(Z13="",0,Z13))</f>
        <v/>
      </c>
      <c r="CE13" s="142">
        <f>I13+J13+K13+L13+AG13</f>
        <v/>
      </c>
    </row>
    <row r="14">
      <c r="B14" s="231" t="n"/>
      <c r="C14" s="231" t="inlineStr">
        <is>
          <t>7'9'</t>
        </is>
      </c>
      <c r="D14" s="206">
        <f>IF(C14="","",VLOOKUP($C14,箱规!$A$2:$S$23,9,FALSE))</f>
        <v/>
      </c>
      <c r="E14" s="231" t="n"/>
      <c r="F14" s="180" t="n"/>
      <c r="G14" s="170">
        <f>IF(OR(CD14="",CE14="",CE14&gt;=1,X14=""),"",ROUNDUP((CD14-0.13*X14/1.13)/(1-CE14),2))</f>
        <v/>
      </c>
      <c r="H14" s="169">
        <f>IF(OR(CD14="",CE14="",X14=""),"",IF((1-CE14-参数!$B$16)&lt;=0,"费率过高",ROUND((CD14-0.13*X14/1.13)/(1-CE14-参数!$B$16),2)))</f>
        <v/>
      </c>
      <c r="I14" s="264" t="n">
        <v>0.15</v>
      </c>
      <c r="J14" s="264" t="n">
        <v>0.07000000000000001</v>
      </c>
      <c r="K14" s="264" t="n">
        <v>0.15</v>
      </c>
      <c r="L14" s="264" t="n">
        <v>0.01</v>
      </c>
      <c r="M14" s="265">
        <f>参数!$B$2</f>
        <v/>
      </c>
      <c r="N14" s="227">
        <f>IF(C14="","",VLOOKUP($C14,箱规!$A$2:$S$23,14,FALSE))</f>
        <v/>
      </c>
      <c r="O14" s="227">
        <f>IF(C14="","",VLOOKUP($C14,箱规!$A$2:$S$23,5,FALSE))</f>
        <v/>
      </c>
      <c r="P14" s="227">
        <f>IF(C14="","",VLOOKUP($C14,箱规!$A$2:$S$23,6,FALSE))</f>
        <v/>
      </c>
      <c r="Q14" s="227">
        <f>IF(C14="","",VLOOKUP($C14,箱规!$A$2:$S$23,7,FALSE))</f>
        <v/>
      </c>
      <c r="R14" s="279">
        <f>IF(OR(N14="",O14="",P14="",Q14=""),"",MAX(N14*FBA规则!$B$6,(O14/FBA规则!$B$5)*(P14/FBA规则!$B$5)*(Q14/FBA规则!$B$5)/FBA规则!$B$7))</f>
        <v/>
      </c>
      <c r="S14" s="280">
        <f>IF(R14="","",IF(AND(N14*FBA规则!$B$6&lt;=1,MAX(O14,P14,Q14)/FBA规则!$B$5&lt;=15,MEDIAN(O14,P14,Q14)/FBA规则!$B$5&lt;=12,MIN(O14,P14,Q14)/FBA规则!$B$5&lt;=0.75),"小标准",IF(AND(R14&lt;=20,MAX(O14,P14,Q14)/FBA规则!$B$5&lt;=18,MEDIAN(O14,P14,Q14)/FBA规则!$B$5&lt;=14,MIN(O14,P14,Q14)/FBA规则!$B$5&lt;=8),"大标准",IF(AND(R14&lt;=50,MAX(O14,P14,Q14)/FBA规则!$B$5&lt;=59,MEDIAN(O14,P14,Q14)/FBA规则!$B$5&lt;=33,MIN(O14,P14,Q14)/FBA规则!$B$5&lt;=33,T14&lt;=130),"大件",IF(R14&lt;=50,"超大0-50lb",IF(R14&lt;=70,"超大50-70lb",IF(R14&lt;=150,"超大70-150lb","超大150lb+")))))))</f>
        <v/>
      </c>
      <c r="T14" s="279">
        <f>IF(OR(O14="",P14="",Q14=""),"",MAX(O14,P14,Q14)/FBA规则!$B$5+2*((MEDIAN(O14,P14,Q14)+MIN(O14,P14,Q14))/FBA规则!$B$5))</f>
        <v/>
      </c>
      <c r="U14" s="267">
        <f>参数!$B$15</f>
        <v/>
      </c>
      <c r="V14" s="268">
        <f>IF(OR(C14="",U14=""),"",(IF(OR(VLOOKUP($C14,箱规!$A$2:$S$23,4,FALSE)="",VLOOKUP($C14,箱规!$A$2:$S$23,4,FALSE)=0),VLOOKUP($C14,箱规!$A$2:$S$23,2,FALSE)*VLOOKUP($C14,箱规!$A$2:$S$23,3,FALSE)/10000,VLOOKUP($C14,箱规!$A$2:$S$23,4,FALSE)))*U14)</f>
        <v/>
      </c>
      <c r="W14" s="269" t="n"/>
      <c r="X14" s="270">
        <f>IF(AND(V14&lt;&gt;"",M14&lt;&gt;""),V14/M14,IF(AND(W14&lt;&gt;"",M14&lt;&gt;""),W14*1.13/M14,""))</f>
        <v/>
      </c>
      <c r="Y14" s="271">
        <f>IF(OR(X14="",G14=""),"",X14/G14)</f>
        <v/>
      </c>
      <c r="Z14" s="272" t="n"/>
      <c r="AA14" s="273">
        <f>IF(OR(D14="",D14=0),"",IF(BG14="陆运",IF(BL14="",0,BL14)/D14,IF(BG14="海运",IF(BK14="",0,BK14)/D14,IF(BG14="海运+陆运",(IF(BK14="",0,BK14)+IF(BL14="",0,BL14))/D14,IF(BK14="",0,BK14)/D14))))</f>
        <v/>
      </c>
      <c r="AB14" s="274">
        <f>IF(OR(S14="",R14="",参数!$B$23=""),"",IF(S14="小标准",IFERROR(INDEX(FBA规则!$B$58:$C$65,MATCH(N14*FBA规则!$B$6*16,FBA规则!$A$58:$A$65,1),IF(参数!$B$23="旺季",2,1)),INDEX(FBA规则!$B$65:$C$65,1,IF(参数!$B$23="旺季",2,1))),IF(S14="大标准",IF(R14&lt;=3,IFERROR(INDEX(FBA规则!$B$35:$C$46,MATCH(R14,FBA规则!$A$35:$A$46,1),IF(参数!$B$23="旺季",2,1)),INDEX(FBA规则!$B$46:$C$46,1,IF(参数!$B$23="旺季",2,1))),INDEX(FBA规则!$B$47:$C$47,1,IF(参数!$B$23="旺季",2,1))+FBA规则!$D$47*CEILING((R14-3)*4,1)),IF(S14="大件",INDEX(FBA规则!$B$50:$C$50,1,IF(参数!$B$23="旺季",2,1))+FBA规则!$D$50*MAX(0,CEILING(R14,1)-1),IF(S14="超大0-50lb",INDEX(FBA规则!$B$51:$C$51,1,IF(参数!$B$23="旺季",2,1))+FBA规则!$D$51*MAX(0,CEILING(R14,1)-1),IF(S14="超大50-70lb",INDEX(FBA规则!$B$52:$C$52,1,IF(参数!$B$23="旺季",2,1))+FBA规则!$D$52*MAX(0,R14-FBA规则!$F$52),IF(S14="超大70-150lb",INDEX(FBA规则!$B$53:$C$53,1,IF(参数!$B$23="旺季",2,1))+FBA规则!$D$53*MAX(0,R14-FBA规则!$F$53),INDEX(FBA规则!$B$54:$C$54,1,IF(参数!$B$23="旺季",2,1))+FBA规则!$D$54*MAX(0,R14-FBA规则!$F$54))))))))</f>
        <v/>
      </c>
      <c r="AC14" s="274">
        <f>IF(OR(G14="",I14=""),"",G14*I14)</f>
        <v/>
      </c>
      <c r="AD14" s="274">
        <f>IF(OR(G14="",J14=""),"",G14*J14)</f>
        <v/>
      </c>
      <c r="AE14" s="274">
        <f>IF(OR(G14="",K14=""),"",G14*K14)</f>
        <v/>
      </c>
      <c r="AF14" s="274">
        <f>IF(OR(G14="",L14=""),"",G14*L14)</f>
        <v/>
      </c>
      <c r="AG14" s="271" t="n">
        <v>0.02</v>
      </c>
      <c r="AH14" s="274">
        <f>IF(OR(G14="",AG14=""),"",G14*AG14)</f>
        <v/>
      </c>
      <c r="AI14" s="272" t="n"/>
      <c r="AJ14" s="274">
        <f>IF(X14="","",X14+IF(OR(AA14="",M14=""),0,AA14/M14)+SUM(AB14:AF14)+IF(AH14="",0,AH14)+IF(AI14="",0,AI14))</f>
        <v/>
      </c>
      <c r="AK14" s="274">
        <f>IF(X14="","",0.13*X14/1.13)</f>
        <v/>
      </c>
      <c r="AL14" s="274">
        <f>IF(OR(G14="",AJ14=""),"",G14+AK14-AJ14)</f>
        <v/>
      </c>
      <c r="AM14" s="271">
        <f>IF(OR(AL14="",G14=""),"",AL14/G14)</f>
        <v/>
      </c>
      <c r="AN14" s="224">
        <f>IF(OR(X14="",H14=""),"",X14/H14)</f>
        <v/>
      </c>
      <c r="AO14" s="225" t="n"/>
      <c r="AP14" s="275">
        <f>AA14</f>
        <v/>
      </c>
      <c r="AQ14" s="223">
        <f>IF(OR(S14="",R14="",参数!$B$23=""),"",IF(S14="小标准",IFERROR(INDEX(FBA规则!$B$58:$C$65,MATCH(N14*FBA规则!$B$6*16,FBA规则!$A$58:$A$65,1),IF(参数!$B$23="旺季",2,1)),INDEX(FBA规则!$B$65:$C$65,1,IF(参数!$B$23="旺季",2,1))),IF(S14="大标准",IF(R14&lt;=3,IFERROR(INDEX(FBA规则!$B$35:$C$46,MATCH(R14,FBA规则!$A$35:$A$46,1),IF(参数!$B$23="旺季",2,1)),INDEX(FBA规则!$B$46:$C$46,1,IF(参数!$B$23="旺季",2,1))),INDEX(FBA规则!$B$47:$C$47,1,IF(参数!$B$23="旺季",2,1))+FBA规则!$D$47*CEILING((R14-3)*4,1)),IF(S14="大件",INDEX(FBA规则!$B$50:$C$50,1,IF(参数!$B$23="旺季",2,1))+FBA规则!$D$50*MAX(0,CEILING(R14,1)-1),IF(S14="超大0-50lb",INDEX(FBA规则!$B$51:$C$51,1,IF(参数!$B$23="旺季",2,1))+FBA规则!$D$51*MAX(0,CEILING(R14,1)-1),IF(S14="超大50-70lb",INDEX(FBA规则!$B$52:$C$52,1,IF(参数!$B$23="旺季",2,1))+FBA规则!$D$52*MAX(0,R14-FBA规则!$F$52),IF(S14="超大70-150lb",INDEX(FBA规则!$B$53:$C$53,1,IF(参数!$B$23="旺季",2,1))+FBA规则!$D$53*MAX(0,R14-FBA规则!$F$53),INDEX(FBA规则!$B$54:$C$54,1,IF(参数!$B$23="旺季",2,1))+FBA规则!$D$54*MAX(0,R14-FBA规则!$F$54))))))))</f>
        <v/>
      </c>
      <c r="AR14" s="223">
        <f>IF(OR(H14="",I14=""),"",H14*I14)</f>
        <v/>
      </c>
      <c r="AS14" s="223">
        <f>IF(OR(H14="",J14=""),"",H14*J14)</f>
        <v/>
      </c>
      <c r="AT14" s="223">
        <f>IF(OR(H14="",K14=""),"",H14*K14)</f>
        <v/>
      </c>
      <c r="AU14" s="223">
        <f>IF(OR(H14="",L14=""),"",H14*L14)</f>
        <v/>
      </c>
      <c r="AV14" s="224" t="n">
        <v>0.02</v>
      </c>
      <c r="AW14" s="223">
        <f>IF(OR(H14="",AV14=""),"",H14*AV14)</f>
        <v/>
      </c>
      <c r="AX14" s="225" t="n"/>
      <c r="AY14" s="223">
        <f>IF(X14="","",X14+IF(OR(AP14="",M14=""),0,AP14/M14)+SUM(AQ14:AU14)+IF(AW14="",0,AW14)+IF(AX14="",0,AX14))</f>
        <v/>
      </c>
      <c r="AZ14" s="223">
        <f>IF(X14="","",0.13*X14/1.13)</f>
        <v/>
      </c>
      <c r="BA14" s="223">
        <f>IF(OR(H14="",AY14=""),"",H14+AZ14-AY14)</f>
        <v/>
      </c>
      <c r="BB14" s="224">
        <f>IF(OR(BA14="",H14=""),"",BA14/H14)</f>
        <v/>
      </c>
      <c r="BC14" s="223">
        <f>IF(OR(H14="",AY14=""),"",H14-AY14)</f>
        <v/>
      </c>
      <c r="BD14" s="224">
        <f>IF(OR(BC14="",H14=""),"",BC14/H14)</f>
        <v/>
      </c>
      <c r="BE14" s="205" t="inlineStr">
        <is>
          <t>义乌</t>
        </is>
      </c>
      <c r="BF14" s="231" t="inlineStr">
        <is>
          <t>ABE8</t>
        </is>
      </c>
      <c r="BG14" s="205" t="inlineStr">
        <is>
          <t>海运</t>
        </is>
      </c>
      <c r="BH14" s="226" t="inlineStr">
        <is>
          <t>（最低价）</t>
        </is>
      </c>
      <c r="BI14" s="227">
        <f>IF(OR(BE14="",BF14=""),"",IF(AND(BH14&lt;&gt;"",BH14&lt;&gt;"（最低价）"),IFERROR(IF(SUMIFS(海运报价!$F$2:$F$2000,海运报价!$C$2:$C$2000,BH14,海运报价!$D$2:$D$2000,BE14,海运报价!$E$2:$E$2000,BF14)=0,"",SUMIFS(海运报价!$F$2:$F$2000,海运报价!$C$2:$C$2000,BH14,海运报价!$D$2:$D$2000,BE14,海运报价!$E$2:$E$2000,BF14)),""),IFERROR(IF(SUMIFS(海运下拉!$H$2:$H$311,海运下拉!$F$2:$F$311,BE14,海运下拉!$G$2:$G$311,BF14)=0,"",SUMIFS(海运下拉!$H$2:$H$311,海运下拉!$F$2:$F$311,BE14,海运下拉!$G$2:$G$311,BF14)),"")))</f>
        <v/>
      </c>
      <c r="BJ14" s="227">
        <f>IF(C14="","",VLOOKUP($C14,箱规!$A$2:$S$23,18,FALSE))</f>
        <v/>
      </c>
      <c r="BK14" s="228">
        <f>IF(OR(BI14="",BJ14=""),"",BJ14*(BI14+IF(AND(BH14&lt;&gt;"",BH14&lt;&gt;"（最低价）"),IFERROR(AVERAGEIFS(海运报价!$H$2:$H$2000,海运报价!$C$2:$C$2000,BH14,海运报价!$D$2:$D$2000,BE14,海运报价!$E$2:$E$2000,BF14),0),IFERROR(SUMIFS(海运下拉!$J$2:$J$311,海运下拉!$F$2:$F$311,BE14,海运下拉!$G$2:$G$311,BF14),0))))</f>
        <v/>
      </c>
      <c r="BL14" s="247" t="n"/>
      <c r="BM14" s="229">
        <f>IF(OR(BE14="",BF14=""),"请选起运地+FBA仓",IF(AND(AND(BH14&lt;&gt;"",BH14&lt;&gt;"（最低价）"),BI14=""),"⚠该渠道不服务此仓：请重选渠道，或选「（最低价）」",IF(BI14="","无报价：请换起运地/仓库",IF(AND(BH14&lt;&gt;"",BH14&lt;&gt;"（最低价）"),"按你选的渠道「"&amp;BH14&amp;"」计价","按最低价「"&amp;IFERROR(SUMIFS(海运下拉!$I$2:$I$311,海运下拉!$F$2:$F$311,BE14,海运下拉!$G$2:$G$311,BF14),"")&amp;"」（渠道默认最低价）"))))</f>
        <v/>
      </c>
      <c r="BO14" s="1">
        <f>IF(OR($BE14="",$BF14=""),"",IFERROR(INDEX(海运报价!$C$2:$C$2000,AGGREGATE(15,6,(ROW(海运报价!$C$2:$C$2000)-ROW(海运报价!$C$2)+1)/((海运报价!$D$2:$D$2000=$BE14)*(海运报价!$E$2:$E$2000=$BF14)),1)),""))</f>
        <v/>
      </c>
      <c r="BP14" s="1">
        <f>IF(OR($BE14="",$BF14=""),"",IFERROR(INDEX(海运报价!$C$2:$C$2000,AGGREGATE(15,6,(ROW(海运报价!$C$2:$C$2000)-ROW(海运报价!$C$2)+1)/((海运报价!$D$2:$D$2000=$BE14)*(海运报价!$E$2:$E$2000=$BF14)),2)),""))</f>
        <v/>
      </c>
      <c r="BQ14" s="1">
        <f>IF(OR($BE14="",$BF14=""),"",IFERROR(INDEX(海运报价!$C$2:$C$2000,AGGREGATE(15,6,(ROW(海运报价!$C$2:$C$2000)-ROW(海运报价!$C$2)+1)/((海运报价!$D$2:$D$2000=$BE14)*(海运报价!$E$2:$E$2000=$BF14)),3)),""))</f>
        <v/>
      </c>
      <c r="BR14" s="1">
        <f>IF(OR($BE14="",$BF14=""),"",IFERROR(INDEX(海运报价!$C$2:$C$2000,AGGREGATE(15,6,(ROW(海运报价!$C$2:$C$2000)-ROW(海运报价!$C$2)+1)/((海运报价!$D$2:$D$2000=$BE14)*(海运报价!$E$2:$E$2000=$BF14)),4)),""))</f>
        <v/>
      </c>
      <c r="BS14" s="1">
        <f>IF(OR($BE14="",$BF14=""),"",IFERROR(INDEX(海运报价!$C$2:$C$2000,AGGREGATE(15,6,(ROW(海运报价!$C$2:$C$2000)-ROW(海运报价!$C$2)+1)/((海运报价!$D$2:$D$2000=$BE14)*(海运报价!$E$2:$E$2000=$BF14)),5)),""))</f>
        <v/>
      </c>
      <c r="BT14" s="1">
        <f>IF(OR($BE14="",$BF14=""),"",IFERROR(INDEX(海运报价!$C$2:$C$2000,AGGREGATE(15,6,(ROW(海运报价!$C$2:$C$2000)-ROW(海运报价!$C$2)+1)/((海运报价!$D$2:$D$2000=$BE14)*(海运报价!$E$2:$E$2000=$BF14)),6)),""))</f>
        <v/>
      </c>
      <c r="BU14" s="1">
        <f>IF(OR($BE14="",$BF14=""),"",IFERROR(INDEX(海运报价!$C$2:$C$2000,AGGREGATE(15,6,(ROW(海运报价!$C$2:$C$2000)-ROW(海运报价!$C$2)+1)/((海运报价!$D$2:$D$2000=$BE14)*(海运报价!$E$2:$E$2000=$BF14)),7)),""))</f>
        <v/>
      </c>
      <c r="BV14" s="1">
        <f>IF(OR($BE14="",$BF14=""),"",IFERROR(INDEX(海运报价!$C$2:$C$2000,AGGREGATE(15,6,(ROW(海运报价!$C$2:$C$2000)-ROW(海运报价!$C$2)+1)/((海运报价!$D$2:$D$2000=$BE14)*(海运报价!$E$2:$E$2000=$BF14)),8)),""))</f>
        <v/>
      </c>
      <c r="BW14" s="1">
        <f>IF(OR($BE14="",$BF14=""),"",IFERROR(INDEX(海运报价!$C$2:$C$2000,AGGREGATE(15,6,(ROW(海运报价!$C$2:$C$2000)-ROW(海运报价!$C$2)+1)/((海运报价!$D$2:$D$2000=$BE14)*(海运报价!$E$2:$E$2000=$BF14)),9)),""))</f>
        <v/>
      </c>
      <c r="BX14" s="1">
        <f>IF(OR($BE14="",$BF14=""),"",IFERROR(INDEX(海运报价!$C$2:$C$2000,AGGREGATE(15,6,(ROW(海运报价!$C$2:$C$2000)-ROW(海运报价!$C$2)+1)/((海运报价!$D$2:$D$2000=$BE14)*(海运报价!$E$2:$E$2000=$BF14)),10)),""))</f>
        <v/>
      </c>
      <c r="BY14" s="1">
        <f>IF(OR($BE14="",$BF14=""),"",IFERROR(INDEX(海运报价!$C$2:$C$2000,AGGREGATE(15,6,(ROW(海运报价!$C$2:$C$2000)-ROW(海运报价!$C$2)+1)/((海运报价!$D$2:$D$2000=$BE14)*(海运报价!$E$2:$E$2000=$BF14)),11)),""))</f>
        <v/>
      </c>
      <c r="BZ14" s="1">
        <f>IF(OR($BE14="",$BF14=""),"",IFERROR(INDEX(海运报价!$C$2:$C$2000,AGGREGATE(15,6,(ROW(海运报价!$C$2:$C$2000)-ROW(海运报价!$C$2)+1)/((海运报价!$D$2:$D$2000=$BE14)*(海运报价!$E$2:$E$2000=$BF14)),12)),""))</f>
        <v/>
      </c>
      <c r="CA14" s="1">
        <f>IF(OR($BE14="",$BF14=""),"",IFERROR(INDEX(海运报价!$C$2:$C$2000,AGGREGATE(15,6,(ROW(海运报价!$C$2:$C$2000)-ROW(海运报价!$C$2)+1)/((海运报价!$D$2:$D$2000=$BE14)*(海运报价!$E$2:$E$2000=$BF14)),13)),""))</f>
        <v/>
      </c>
      <c r="CB14" s="1">
        <f>IF(OR($BE14="",$BF14=""),"",IFERROR(INDEX(海运报价!$C$2:$C$2000,AGGREGATE(15,6,(ROW(海运报价!$C$2:$C$2000)-ROW(海运报价!$C$2)+1)/((海运报价!$D$2:$D$2000=$BE14)*(海运报价!$E$2:$E$2000=$BF14)),14)),""))</f>
        <v/>
      </c>
      <c r="CC14" s="1">
        <f>IF(OR($BE14="",$BF14=""),"",IFERROR(INDEX(海运报价!$C$2:$C$2000,AGGREGATE(15,6,(ROW(海运报价!$C$2:$C$2000)-ROW(海运报价!$C$2)+1)/((海运报价!$D$2:$D$2000=$BE14)*(海运报价!$E$2:$E$2000=$BF14)),15)),""))</f>
        <v/>
      </c>
      <c r="CD14" s="119">
        <f>IF(OR(X14="",M14=""),"",X14+IF(OR(AA14="",M14=""),0,AA14/M14)+IF(AB14="",0,AB14)+IF(AI14="",0,AI14)+IF(Z14="",0,Z14))</f>
        <v/>
      </c>
      <c r="CE14" s="142">
        <f>I14+J14+K14+L14+AG14</f>
        <v/>
      </c>
    </row>
    <row r="15">
      <c r="B15" s="231" t="n"/>
      <c r="C15" s="231" t="inlineStr">
        <is>
          <t>8'10'</t>
        </is>
      </c>
      <c r="D15" s="206">
        <f>IF(C15="","",VLOOKUP($C15,箱规!$A$2:$S$23,9,FALSE))</f>
        <v/>
      </c>
      <c r="E15" s="231" t="n"/>
      <c r="F15" s="180" t="n"/>
      <c r="G15" s="170">
        <f>IF(OR(CD15="",CE15="",CE15&gt;=1,X15=""),"",ROUNDUP((CD15-0.13*X15/1.13)/(1-CE15),2))</f>
        <v/>
      </c>
      <c r="H15" s="169">
        <f>IF(OR(CD15="",CE15="",X15=""),"",IF((1-CE15-参数!$B$16)&lt;=0,"费率过高",ROUND((CD15-0.13*X15/1.13)/(1-CE15-参数!$B$16),2)))</f>
        <v/>
      </c>
      <c r="I15" s="264" t="n">
        <v>0.15</v>
      </c>
      <c r="J15" s="264" t="n">
        <v>0.07000000000000001</v>
      </c>
      <c r="K15" s="264" t="n">
        <v>0.15</v>
      </c>
      <c r="L15" s="264" t="n">
        <v>0.01</v>
      </c>
      <c r="M15" s="265">
        <f>参数!$B$2</f>
        <v/>
      </c>
      <c r="N15" s="227">
        <f>IF(C15="","",VLOOKUP($C15,箱规!$A$2:$S$23,14,FALSE))</f>
        <v/>
      </c>
      <c r="O15" s="227">
        <f>IF(C15="","",VLOOKUP($C15,箱规!$A$2:$S$23,5,FALSE))</f>
        <v/>
      </c>
      <c r="P15" s="227">
        <f>IF(C15="","",VLOOKUP($C15,箱规!$A$2:$S$23,6,FALSE))</f>
        <v/>
      </c>
      <c r="Q15" s="227">
        <f>IF(C15="","",VLOOKUP($C15,箱规!$A$2:$S$23,7,FALSE))</f>
        <v/>
      </c>
      <c r="R15" s="279">
        <f>IF(OR(N15="",O15="",P15="",Q15=""),"",MAX(N15*FBA规则!$B$6,(O15/FBA规则!$B$5)*(P15/FBA规则!$B$5)*(Q15/FBA规则!$B$5)/FBA规则!$B$7))</f>
        <v/>
      </c>
      <c r="S15" s="280">
        <f>IF(R15="","",IF(AND(N15*FBA规则!$B$6&lt;=1,MAX(O15,P15,Q15)/FBA规则!$B$5&lt;=15,MEDIAN(O15,P15,Q15)/FBA规则!$B$5&lt;=12,MIN(O15,P15,Q15)/FBA规则!$B$5&lt;=0.75),"小标准",IF(AND(R15&lt;=20,MAX(O15,P15,Q15)/FBA规则!$B$5&lt;=18,MEDIAN(O15,P15,Q15)/FBA规则!$B$5&lt;=14,MIN(O15,P15,Q15)/FBA规则!$B$5&lt;=8),"大标准",IF(AND(R15&lt;=50,MAX(O15,P15,Q15)/FBA规则!$B$5&lt;=59,MEDIAN(O15,P15,Q15)/FBA规则!$B$5&lt;=33,MIN(O15,P15,Q15)/FBA规则!$B$5&lt;=33,T15&lt;=130),"大件",IF(R15&lt;=50,"超大0-50lb",IF(R15&lt;=70,"超大50-70lb",IF(R15&lt;=150,"超大70-150lb","超大150lb+")))))))</f>
        <v/>
      </c>
      <c r="T15" s="279">
        <f>IF(OR(O15="",P15="",Q15=""),"",MAX(O15,P15,Q15)/FBA规则!$B$5+2*((MEDIAN(O15,P15,Q15)+MIN(O15,P15,Q15))/FBA规则!$B$5))</f>
        <v/>
      </c>
      <c r="U15" s="267">
        <f>参数!$B$15</f>
        <v/>
      </c>
      <c r="V15" s="268">
        <f>IF(OR(C15="",U15=""),"",(IF(OR(VLOOKUP($C15,箱规!$A$2:$S$23,4,FALSE)="",VLOOKUP($C15,箱规!$A$2:$S$23,4,FALSE)=0),VLOOKUP($C15,箱规!$A$2:$S$23,2,FALSE)*VLOOKUP($C15,箱规!$A$2:$S$23,3,FALSE)/10000,VLOOKUP($C15,箱规!$A$2:$S$23,4,FALSE)))*U15)</f>
        <v/>
      </c>
      <c r="W15" s="269" t="n"/>
      <c r="X15" s="270">
        <f>IF(AND(V15&lt;&gt;"",M15&lt;&gt;""),V15/M15,IF(AND(W15&lt;&gt;"",M15&lt;&gt;""),W15*1.13/M15,""))</f>
        <v/>
      </c>
      <c r="Y15" s="271">
        <f>IF(OR(X15="",G15=""),"",X15/G15)</f>
        <v/>
      </c>
      <c r="Z15" s="272" t="n"/>
      <c r="AA15" s="273">
        <f>IF(OR(D15="",D15=0),"",IF(BG15="陆运",IF(BL15="",0,BL15)/D15,IF(BG15="海运",IF(BK15="",0,BK15)/D15,IF(BG15="海运+陆运",(IF(BK15="",0,BK15)+IF(BL15="",0,BL15))/D15,IF(BK15="",0,BK15)/D15))))</f>
        <v/>
      </c>
      <c r="AB15" s="274">
        <f>IF(OR(S15="",R15="",参数!$B$23=""),"",IF(S15="小标准",IFERROR(INDEX(FBA规则!$B$58:$C$65,MATCH(N15*FBA规则!$B$6*16,FBA规则!$A$58:$A$65,1),IF(参数!$B$23="旺季",2,1)),INDEX(FBA规则!$B$65:$C$65,1,IF(参数!$B$23="旺季",2,1))),IF(S15="大标准",IF(R15&lt;=3,IFERROR(INDEX(FBA规则!$B$35:$C$46,MATCH(R15,FBA规则!$A$35:$A$46,1),IF(参数!$B$23="旺季",2,1)),INDEX(FBA规则!$B$46:$C$46,1,IF(参数!$B$23="旺季",2,1))),INDEX(FBA规则!$B$47:$C$47,1,IF(参数!$B$23="旺季",2,1))+FBA规则!$D$47*CEILING((R15-3)*4,1)),IF(S15="大件",INDEX(FBA规则!$B$50:$C$50,1,IF(参数!$B$23="旺季",2,1))+FBA规则!$D$50*MAX(0,CEILING(R15,1)-1),IF(S15="超大0-50lb",INDEX(FBA规则!$B$51:$C$51,1,IF(参数!$B$23="旺季",2,1))+FBA规则!$D$51*MAX(0,CEILING(R15,1)-1),IF(S15="超大50-70lb",INDEX(FBA规则!$B$52:$C$52,1,IF(参数!$B$23="旺季",2,1))+FBA规则!$D$52*MAX(0,R15-FBA规则!$F$52),IF(S15="超大70-150lb",INDEX(FBA规则!$B$53:$C$53,1,IF(参数!$B$23="旺季",2,1))+FBA规则!$D$53*MAX(0,R15-FBA规则!$F$53),INDEX(FBA规则!$B$54:$C$54,1,IF(参数!$B$23="旺季",2,1))+FBA规则!$D$54*MAX(0,R15-FBA规则!$F$54))))))))</f>
        <v/>
      </c>
      <c r="AC15" s="274">
        <f>IF(OR(G15="",I15=""),"",G15*I15)</f>
        <v/>
      </c>
      <c r="AD15" s="274">
        <f>IF(OR(G15="",J15=""),"",G15*J15)</f>
        <v/>
      </c>
      <c r="AE15" s="274">
        <f>IF(OR(G15="",K15=""),"",G15*K15)</f>
        <v/>
      </c>
      <c r="AF15" s="274">
        <f>IF(OR(G15="",L15=""),"",G15*L15)</f>
        <v/>
      </c>
      <c r="AG15" s="271" t="n">
        <v>0.02</v>
      </c>
      <c r="AH15" s="274">
        <f>IF(OR(G15="",AG15=""),"",G15*AG15)</f>
        <v/>
      </c>
      <c r="AI15" s="272" t="n"/>
      <c r="AJ15" s="274">
        <f>IF(X15="","",X15+IF(OR(AA15="",M15=""),0,AA15/M15)+SUM(AB15:AF15)+IF(AH15="",0,AH15)+IF(AI15="",0,AI15))</f>
        <v/>
      </c>
      <c r="AK15" s="274">
        <f>IF(X15="","",0.13*X15/1.13)</f>
        <v/>
      </c>
      <c r="AL15" s="274">
        <f>IF(OR(G15="",AJ15=""),"",G15+AK15-AJ15)</f>
        <v/>
      </c>
      <c r="AM15" s="271">
        <f>IF(OR(AL15="",G15=""),"",AL15/G15)</f>
        <v/>
      </c>
      <c r="AN15" s="224">
        <f>IF(OR(X15="",H15=""),"",X15/H15)</f>
        <v/>
      </c>
      <c r="AO15" s="225" t="n"/>
      <c r="AP15" s="275">
        <f>AA15</f>
        <v/>
      </c>
      <c r="AQ15" s="223">
        <f>IF(OR(S15="",R15="",参数!$B$23=""),"",IF(S15="小标准",IFERROR(INDEX(FBA规则!$B$58:$C$65,MATCH(N15*FBA规则!$B$6*16,FBA规则!$A$58:$A$65,1),IF(参数!$B$23="旺季",2,1)),INDEX(FBA规则!$B$65:$C$65,1,IF(参数!$B$23="旺季",2,1))),IF(S15="大标准",IF(R15&lt;=3,IFERROR(INDEX(FBA规则!$B$35:$C$46,MATCH(R15,FBA规则!$A$35:$A$46,1),IF(参数!$B$23="旺季",2,1)),INDEX(FBA规则!$B$46:$C$46,1,IF(参数!$B$23="旺季",2,1))),INDEX(FBA规则!$B$47:$C$47,1,IF(参数!$B$23="旺季",2,1))+FBA规则!$D$47*CEILING((R15-3)*4,1)),IF(S15="大件",INDEX(FBA规则!$B$50:$C$50,1,IF(参数!$B$23="旺季",2,1))+FBA规则!$D$50*MAX(0,CEILING(R15,1)-1),IF(S15="超大0-50lb",INDEX(FBA规则!$B$51:$C$51,1,IF(参数!$B$23="旺季",2,1))+FBA规则!$D$51*MAX(0,CEILING(R15,1)-1),IF(S15="超大50-70lb",INDEX(FBA规则!$B$52:$C$52,1,IF(参数!$B$23="旺季",2,1))+FBA规则!$D$52*MAX(0,R15-FBA规则!$F$52),IF(S15="超大70-150lb",INDEX(FBA规则!$B$53:$C$53,1,IF(参数!$B$23="旺季",2,1))+FBA规则!$D$53*MAX(0,R15-FBA规则!$F$53),INDEX(FBA规则!$B$54:$C$54,1,IF(参数!$B$23="旺季",2,1))+FBA规则!$D$54*MAX(0,R15-FBA规则!$F$54))))))))</f>
        <v/>
      </c>
      <c r="AR15" s="223">
        <f>IF(OR(H15="",I15=""),"",H15*I15)</f>
        <v/>
      </c>
      <c r="AS15" s="223">
        <f>IF(OR(H15="",J15=""),"",H15*J15)</f>
        <v/>
      </c>
      <c r="AT15" s="223">
        <f>IF(OR(H15="",K15=""),"",H15*K15)</f>
        <v/>
      </c>
      <c r="AU15" s="223">
        <f>IF(OR(H15="",L15=""),"",H15*L15)</f>
        <v/>
      </c>
      <c r="AV15" s="224" t="n">
        <v>0.02</v>
      </c>
      <c r="AW15" s="223">
        <f>IF(OR(H15="",AV15=""),"",H15*AV15)</f>
        <v/>
      </c>
      <c r="AX15" s="225" t="n"/>
      <c r="AY15" s="223">
        <f>IF(X15="","",X15+IF(OR(AP15="",M15=""),0,AP15/M15)+SUM(AQ15:AU15)+IF(AW15="",0,AW15)+IF(AX15="",0,AX15))</f>
        <v/>
      </c>
      <c r="AZ15" s="223">
        <f>IF(X15="","",0.13*X15/1.13)</f>
        <v/>
      </c>
      <c r="BA15" s="223">
        <f>IF(OR(H15="",AY15=""),"",H15+AZ15-AY15)</f>
        <v/>
      </c>
      <c r="BB15" s="224">
        <f>IF(OR(BA15="",H15=""),"",BA15/H15)</f>
        <v/>
      </c>
      <c r="BC15" s="223">
        <f>IF(OR(H15="",AY15=""),"",H15-AY15)</f>
        <v/>
      </c>
      <c r="BD15" s="224">
        <f>IF(OR(BC15="",H15=""),"",BC15/H15)</f>
        <v/>
      </c>
      <c r="BE15" s="205" t="inlineStr">
        <is>
          <t>义乌</t>
        </is>
      </c>
      <c r="BF15" s="231" t="inlineStr">
        <is>
          <t>ABE8</t>
        </is>
      </c>
      <c r="BG15" s="205" t="inlineStr">
        <is>
          <t>海运</t>
        </is>
      </c>
      <c r="BH15" s="226" t="inlineStr">
        <is>
          <t>（最低价）</t>
        </is>
      </c>
      <c r="BI15" s="227">
        <f>IF(OR(BE15="",BF15=""),"",IF(AND(BH15&lt;&gt;"",BH15&lt;&gt;"（最低价）"),IFERROR(IF(SUMIFS(海运报价!$F$2:$F$2000,海运报价!$C$2:$C$2000,BH15,海运报价!$D$2:$D$2000,BE15,海运报价!$E$2:$E$2000,BF15)=0,"",SUMIFS(海运报价!$F$2:$F$2000,海运报价!$C$2:$C$2000,BH15,海运报价!$D$2:$D$2000,BE15,海运报价!$E$2:$E$2000,BF15)),""),IFERROR(IF(SUMIFS(海运下拉!$H$2:$H$311,海运下拉!$F$2:$F$311,BE15,海运下拉!$G$2:$G$311,BF15)=0,"",SUMIFS(海运下拉!$H$2:$H$311,海运下拉!$F$2:$F$311,BE15,海运下拉!$G$2:$G$311,BF15)),"")))</f>
        <v/>
      </c>
      <c r="BJ15" s="227">
        <f>IF(C15="","",VLOOKUP($C15,箱规!$A$2:$S$23,18,FALSE))</f>
        <v/>
      </c>
      <c r="BK15" s="228">
        <f>IF(OR(BI15="",BJ15=""),"",BJ15*(BI15+IF(AND(BH15&lt;&gt;"",BH15&lt;&gt;"（最低价）"),IFERROR(AVERAGEIFS(海运报价!$H$2:$H$2000,海运报价!$C$2:$C$2000,BH15,海运报价!$D$2:$D$2000,BE15,海运报价!$E$2:$E$2000,BF15),0),IFERROR(SUMIFS(海运下拉!$J$2:$J$311,海运下拉!$F$2:$F$311,BE15,海运下拉!$G$2:$G$311,BF15),0))))</f>
        <v/>
      </c>
      <c r="BL15" s="247" t="n"/>
      <c r="BM15" s="229">
        <f>IF(OR(BE15="",BF15=""),"请选起运地+FBA仓",IF(AND(AND(BH15&lt;&gt;"",BH15&lt;&gt;"（最低价）"),BI15=""),"⚠该渠道不服务此仓：请重选渠道，或选「（最低价）」",IF(BI15="","无报价：请换起运地/仓库",IF(AND(BH15&lt;&gt;"",BH15&lt;&gt;"（最低价）"),"按你选的渠道「"&amp;BH15&amp;"」计价","按最低价「"&amp;IFERROR(SUMIFS(海运下拉!$I$2:$I$311,海运下拉!$F$2:$F$311,BE15,海运下拉!$G$2:$G$311,BF15),"")&amp;"」（渠道默认最低价）"))))</f>
        <v/>
      </c>
      <c r="BO15" s="1">
        <f>IF(OR($BE15="",$BF15=""),"",IFERROR(INDEX(海运报价!$C$2:$C$2000,AGGREGATE(15,6,(ROW(海运报价!$C$2:$C$2000)-ROW(海运报价!$C$2)+1)/((海运报价!$D$2:$D$2000=$BE15)*(海运报价!$E$2:$E$2000=$BF15)),1)),""))</f>
        <v/>
      </c>
      <c r="BP15" s="1">
        <f>IF(OR($BE15="",$BF15=""),"",IFERROR(INDEX(海运报价!$C$2:$C$2000,AGGREGATE(15,6,(ROW(海运报价!$C$2:$C$2000)-ROW(海运报价!$C$2)+1)/((海运报价!$D$2:$D$2000=$BE15)*(海运报价!$E$2:$E$2000=$BF15)),2)),""))</f>
        <v/>
      </c>
      <c r="BQ15" s="1">
        <f>IF(OR($BE15="",$BF15=""),"",IFERROR(INDEX(海运报价!$C$2:$C$2000,AGGREGATE(15,6,(ROW(海运报价!$C$2:$C$2000)-ROW(海运报价!$C$2)+1)/((海运报价!$D$2:$D$2000=$BE15)*(海运报价!$E$2:$E$2000=$BF15)),3)),""))</f>
        <v/>
      </c>
      <c r="BR15" s="1">
        <f>IF(OR($BE15="",$BF15=""),"",IFERROR(INDEX(海运报价!$C$2:$C$2000,AGGREGATE(15,6,(ROW(海运报价!$C$2:$C$2000)-ROW(海运报价!$C$2)+1)/((海运报价!$D$2:$D$2000=$BE15)*(海运报价!$E$2:$E$2000=$BF15)),4)),""))</f>
        <v/>
      </c>
      <c r="BS15" s="1">
        <f>IF(OR($BE15="",$BF15=""),"",IFERROR(INDEX(海运报价!$C$2:$C$2000,AGGREGATE(15,6,(ROW(海运报价!$C$2:$C$2000)-ROW(海运报价!$C$2)+1)/((海运报价!$D$2:$D$2000=$BE15)*(海运报价!$E$2:$E$2000=$BF15)),5)),""))</f>
        <v/>
      </c>
      <c r="BT15" s="1">
        <f>IF(OR($BE15="",$BF15=""),"",IFERROR(INDEX(海运报价!$C$2:$C$2000,AGGREGATE(15,6,(ROW(海运报价!$C$2:$C$2000)-ROW(海运报价!$C$2)+1)/((海运报价!$D$2:$D$2000=$BE15)*(海运报价!$E$2:$E$2000=$BF15)),6)),""))</f>
        <v/>
      </c>
      <c r="BU15" s="1">
        <f>IF(OR($BE15="",$BF15=""),"",IFERROR(INDEX(海运报价!$C$2:$C$2000,AGGREGATE(15,6,(ROW(海运报价!$C$2:$C$2000)-ROW(海运报价!$C$2)+1)/((海运报价!$D$2:$D$2000=$BE15)*(海运报价!$E$2:$E$2000=$BF15)),7)),""))</f>
        <v/>
      </c>
      <c r="BV15" s="1">
        <f>IF(OR($BE15="",$BF15=""),"",IFERROR(INDEX(海运报价!$C$2:$C$2000,AGGREGATE(15,6,(ROW(海运报价!$C$2:$C$2000)-ROW(海运报价!$C$2)+1)/((海运报价!$D$2:$D$2000=$BE15)*(海运报价!$E$2:$E$2000=$BF15)),8)),""))</f>
        <v/>
      </c>
      <c r="BW15" s="1">
        <f>IF(OR($BE15="",$BF15=""),"",IFERROR(INDEX(海运报价!$C$2:$C$2000,AGGREGATE(15,6,(ROW(海运报价!$C$2:$C$2000)-ROW(海运报价!$C$2)+1)/((海运报价!$D$2:$D$2000=$BE15)*(海运报价!$E$2:$E$2000=$BF15)),9)),""))</f>
        <v/>
      </c>
      <c r="BX15" s="1">
        <f>IF(OR($BE15="",$BF15=""),"",IFERROR(INDEX(海运报价!$C$2:$C$2000,AGGREGATE(15,6,(ROW(海运报价!$C$2:$C$2000)-ROW(海运报价!$C$2)+1)/((海运报价!$D$2:$D$2000=$BE15)*(海运报价!$E$2:$E$2000=$BF15)),10)),""))</f>
        <v/>
      </c>
      <c r="BY15" s="1">
        <f>IF(OR($BE15="",$BF15=""),"",IFERROR(INDEX(海运报价!$C$2:$C$2000,AGGREGATE(15,6,(ROW(海运报价!$C$2:$C$2000)-ROW(海运报价!$C$2)+1)/((海运报价!$D$2:$D$2000=$BE15)*(海运报价!$E$2:$E$2000=$BF15)),11)),""))</f>
        <v/>
      </c>
      <c r="BZ15" s="1">
        <f>IF(OR($BE15="",$BF15=""),"",IFERROR(INDEX(海运报价!$C$2:$C$2000,AGGREGATE(15,6,(ROW(海运报价!$C$2:$C$2000)-ROW(海运报价!$C$2)+1)/((海运报价!$D$2:$D$2000=$BE15)*(海运报价!$E$2:$E$2000=$BF15)),12)),""))</f>
        <v/>
      </c>
      <c r="CA15" s="1">
        <f>IF(OR($BE15="",$BF15=""),"",IFERROR(INDEX(海运报价!$C$2:$C$2000,AGGREGATE(15,6,(ROW(海运报价!$C$2:$C$2000)-ROW(海运报价!$C$2)+1)/((海运报价!$D$2:$D$2000=$BE15)*(海运报价!$E$2:$E$2000=$BF15)),13)),""))</f>
        <v/>
      </c>
      <c r="CB15" s="1">
        <f>IF(OR($BE15="",$BF15=""),"",IFERROR(INDEX(海运报价!$C$2:$C$2000,AGGREGATE(15,6,(ROW(海运报价!$C$2:$C$2000)-ROW(海运报价!$C$2)+1)/((海运报价!$D$2:$D$2000=$BE15)*(海运报价!$E$2:$E$2000=$BF15)),14)),""))</f>
        <v/>
      </c>
      <c r="CC15" s="1">
        <f>IF(OR($BE15="",$BF15=""),"",IFERROR(INDEX(海运报价!$C$2:$C$2000,AGGREGATE(15,6,(ROW(海运报价!$C$2:$C$2000)-ROW(海运报价!$C$2)+1)/((海运报价!$D$2:$D$2000=$BE15)*(海运报价!$E$2:$E$2000=$BF15)),15)),""))</f>
        <v/>
      </c>
      <c r="CD15" s="119">
        <f>IF(OR(X15="",M15=""),"",X15+IF(OR(AA15="",M15=""),0,AA15/M15)+IF(AB15="",0,AB15)+IF(AI15="",0,AI15)+IF(Z15="",0,Z15))</f>
        <v/>
      </c>
      <c r="CE15" s="142">
        <f>I15+J15+K15+L15+AG15</f>
        <v/>
      </c>
    </row>
    <row r="16">
      <c r="B16" s="231" t="n"/>
      <c r="C16" s="231" t="inlineStr">
        <is>
          <t>9'12'</t>
        </is>
      </c>
      <c r="D16" s="206">
        <f>IF(C16="","",VLOOKUP($C16,箱规!$A$2:$S$23,9,FALSE))</f>
        <v/>
      </c>
      <c r="E16" s="231" t="n"/>
      <c r="F16" s="180" t="n"/>
      <c r="G16" s="170">
        <f>IF(OR(CD16="",CE16="",CE16&gt;=1,X16=""),"",ROUNDUP((CD16-0.13*X16/1.13)/(1-CE16),2))</f>
        <v/>
      </c>
      <c r="H16" s="169">
        <f>IF(OR(CD16="",CE16="",X16=""),"",IF((1-CE16-参数!$B$16)&lt;=0,"费率过高",ROUND((CD16-0.13*X16/1.13)/(1-CE16-参数!$B$16),2)))</f>
        <v/>
      </c>
      <c r="I16" s="264" t="n">
        <v>0.15</v>
      </c>
      <c r="J16" s="264" t="n">
        <v>0.07000000000000001</v>
      </c>
      <c r="K16" s="264" t="n">
        <v>0.15</v>
      </c>
      <c r="L16" s="264" t="n">
        <v>0.01</v>
      </c>
      <c r="M16" s="265">
        <f>参数!$B$2</f>
        <v/>
      </c>
      <c r="N16" s="227">
        <f>IF(C16="","",VLOOKUP($C16,箱规!$A$2:$S$23,14,FALSE))</f>
        <v/>
      </c>
      <c r="O16" s="227">
        <f>IF(C16="","",VLOOKUP($C16,箱规!$A$2:$S$23,5,FALSE))</f>
        <v/>
      </c>
      <c r="P16" s="227">
        <f>IF(C16="","",VLOOKUP($C16,箱规!$A$2:$S$23,6,FALSE))</f>
        <v/>
      </c>
      <c r="Q16" s="227">
        <f>IF(C16="","",VLOOKUP($C16,箱规!$A$2:$S$23,7,FALSE))</f>
        <v/>
      </c>
      <c r="R16" s="279">
        <f>IF(OR(N16="",O16="",P16="",Q16=""),"",MAX(N16*FBA规则!$B$6,(O16/FBA规则!$B$5)*(P16/FBA规则!$B$5)*(Q16/FBA规则!$B$5)/FBA规则!$B$7))</f>
        <v/>
      </c>
      <c r="S16" s="280">
        <f>IF(R16="","",IF(AND(N16*FBA规则!$B$6&lt;=1,MAX(O16,P16,Q16)/FBA规则!$B$5&lt;=15,MEDIAN(O16,P16,Q16)/FBA规则!$B$5&lt;=12,MIN(O16,P16,Q16)/FBA规则!$B$5&lt;=0.75),"小标准",IF(AND(R16&lt;=20,MAX(O16,P16,Q16)/FBA规则!$B$5&lt;=18,MEDIAN(O16,P16,Q16)/FBA规则!$B$5&lt;=14,MIN(O16,P16,Q16)/FBA规则!$B$5&lt;=8),"大标准",IF(AND(R16&lt;=50,MAX(O16,P16,Q16)/FBA规则!$B$5&lt;=59,MEDIAN(O16,P16,Q16)/FBA规则!$B$5&lt;=33,MIN(O16,P16,Q16)/FBA规则!$B$5&lt;=33,T16&lt;=130),"大件",IF(R16&lt;=50,"超大0-50lb",IF(R16&lt;=70,"超大50-70lb",IF(R16&lt;=150,"超大70-150lb","超大150lb+")))))))</f>
        <v/>
      </c>
      <c r="T16" s="279">
        <f>IF(OR(O16="",P16="",Q16=""),"",MAX(O16,P16,Q16)/FBA规则!$B$5+2*((MEDIAN(O16,P16,Q16)+MIN(O16,P16,Q16))/FBA规则!$B$5))</f>
        <v/>
      </c>
      <c r="U16" s="267">
        <f>参数!$B$15</f>
        <v/>
      </c>
      <c r="V16" s="268">
        <f>IF(OR(C16="",U16=""),"",(IF(OR(VLOOKUP($C16,箱规!$A$2:$S$23,4,FALSE)="",VLOOKUP($C16,箱规!$A$2:$S$23,4,FALSE)=0),VLOOKUP($C16,箱规!$A$2:$S$23,2,FALSE)*VLOOKUP($C16,箱规!$A$2:$S$23,3,FALSE)/10000,VLOOKUP($C16,箱规!$A$2:$S$23,4,FALSE)))*U16)</f>
        <v/>
      </c>
      <c r="W16" s="269" t="n"/>
      <c r="X16" s="270">
        <f>IF(AND(V16&lt;&gt;"",M16&lt;&gt;""),V16/M16,IF(AND(W16&lt;&gt;"",M16&lt;&gt;""),W16*1.13/M16,""))</f>
        <v/>
      </c>
      <c r="Y16" s="271">
        <f>IF(OR(X16="",G16=""),"",X16/G16)</f>
        <v/>
      </c>
      <c r="Z16" s="272" t="n"/>
      <c r="AA16" s="273">
        <f>IF(OR(D16="",D16=0),"",IF(BG16="陆运",IF(BL16="",0,BL16)/D16,IF(BG16="海运",IF(BK16="",0,BK16)/D16,IF(BG16="海运+陆运",(IF(BK16="",0,BK16)+IF(BL16="",0,BL16))/D16,IF(BK16="",0,BK16)/D16))))</f>
        <v/>
      </c>
      <c r="AB16" s="274">
        <f>IF(OR(S16="",R16="",参数!$B$23=""),"",IF(S16="小标准",IFERROR(INDEX(FBA规则!$B$58:$C$65,MATCH(N16*FBA规则!$B$6*16,FBA规则!$A$58:$A$65,1),IF(参数!$B$23="旺季",2,1)),INDEX(FBA规则!$B$65:$C$65,1,IF(参数!$B$23="旺季",2,1))),IF(S16="大标准",IF(R16&lt;=3,IFERROR(INDEX(FBA规则!$B$35:$C$46,MATCH(R16,FBA规则!$A$35:$A$46,1),IF(参数!$B$23="旺季",2,1)),INDEX(FBA规则!$B$46:$C$46,1,IF(参数!$B$23="旺季",2,1))),INDEX(FBA规则!$B$47:$C$47,1,IF(参数!$B$23="旺季",2,1))+FBA规则!$D$47*CEILING((R16-3)*4,1)),IF(S16="大件",INDEX(FBA规则!$B$50:$C$50,1,IF(参数!$B$23="旺季",2,1))+FBA规则!$D$50*MAX(0,CEILING(R16,1)-1),IF(S16="超大0-50lb",INDEX(FBA规则!$B$51:$C$51,1,IF(参数!$B$23="旺季",2,1))+FBA规则!$D$51*MAX(0,CEILING(R16,1)-1),IF(S16="超大50-70lb",INDEX(FBA规则!$B$52:$C$52,1,IF(参数!$B$23="旺季",2,1))+FBA规则!$D$52*MAX(0,R16-FBA规则!$F$52),IF(S16="超大70-150lb",INDEX(FBA规则!$B$53:$C$53,1,IF(参数!$B$23="旺季",2,1))+FBA规则!$D$53*MAX(0,R16-FBA规则!$F$53),INDEX(FBA规则!$B$54:$C$54,1,IF(参数!$B$23="旺季",2,1))+FBA规则!$D$54*MAX(0,R16-FBA规则!$F$54))))))))</f>
        <v/>
      </c>
      <c r="AC16" s="274">
        <f>IF(OR(G16="",I16=""),"",G16*I16)</f>
        <v/>
      </c>
      <c r="AD16" s="274">
        <f>IF(OR(G16="",J16=""),"",G16*J16)</f>
        <v/>
      </c>
      <c r="AE16" s="274">
        <f>IF(OR(G16="",K16=""),"",G16*K16)</f>
        <v/>
      </c>
      <c r="AF16" s="274">
        <f>IF(OR(G16="",L16=""),"",G16*L16)</f>
        <v/>
      </c>
      <c r="AG16" s="271" t="n">
        <v>0.02</v>
      </c>
      <c r="AH16" s="274">
        <f>IF(OR(G16="",AG16=""),"",G16*AG16)</f>
        <v/>
      </c>
      <c r="AI16" s="272" t="n"/>
      <c r="AJ16" s="274">
        <f>IF(X16="","",X16+IF(OR(AA16="",M16=""),0,AA16/M16)+SUM(AB16:AF16)+IF(AH16="",0,AH16)+IF(AI16="",0,AI16))</f>
        <v/>
      </c>
      <c r="AK16" s="274">
        <f>IF(X16="","",0.13*X16/1.13)</f>
        <v/>
      </c>
      <c r="AL16" s="274">
        <f>IF(OR(G16="",AJ16=""),"",G16+AK16-AJ16)</f>
        <v/>
      </c>
      <c r="AM16" s="271">
        <f>IF(OR(AL16="",G16=""),"",AL16/G16)</f>
        <v/>
      </c>
      <c r="AN16" s="224">
        <f>IF(OR(X16="",H16=""),"",X16/H16)</f>
        <v/>
      </c>
      <c r="AO16" s="225" t="n"/>
      <c r="AP16" s="275">
        <f>AA16</f>
        <v/>
      </c>
      <c r="AQ16" s="223">
        <f>IF(OR(S16="",R16="",参数!$B$23=""),"",IF(S16="小标准",IFERROR(INDEX(FBA规则!$B$58:$C$65,MATCH(N16*FBA规则!$B$6*16,FBA规则!$A$58:$A$65,1),IF(参数!$B$23="旺季",2,1)),INDEX(FBA规则!$B$65:$C$65,1,IF(参数!$B$23="旺季",2,1))),IF(S16="大标准",IF(R16&lt;=3,IFERROR(INDEX(FBA规则!$B$35:$C$46,MATCH(R16,FBA规则!$A$35:$A$46,1),IF(参数!$B$23="旺季",2,1)),INDEX(FBA规则!$B$46:$C$46,1,IF(参数!$B$23="旺季",2,1))),INDEX(FBA规则!$B$47:$C$47,1,IF(参数!$B$23="旺季",2,1))+FBA规则!$D$47*CEILING((R16-3)*4,1)),IF(S16="大件",INDEX(FBA规则!$B$50:$C$50,1,IF(参数!$B$23="旺季",2,1))+FBA规则!$D$50*MAX(0,CEILING(R16,1)-1),IF(S16="超大0-50lb",INDEX(FBA规则!$B$51:$C$51,1,IF(参数!$B$23="旺季",2,1))+FBA规则!$D$51*MAX(0,CEILING(R16,1)-1),IF(S16="超大50-70lb",INDEX(FBA规则!$B$52:$C$52,1,IF(参数!$B$23="旺季",2,1))+FBA规则!$D$52*MAX(0,R16-FBA规则!$F$52),IF(S16="超大70-150lb",INDEX(FBA规则!$B$53:$C$53,1,IF(参数!$B$23="旺季",2,1))+FBA规则!$D$53*MAX(0,R16-FBA规则!$F$53),INDEX(FBA规则!$B$54:$C$54,1,IF(参数!$B$23="旺季",2,1))+FBA规则!$D$54*MAX(0,R16-FBA规则!$F$54))))))))</f>
        <v/>
      </c>
      <c r="AR16" s="223">
        <f>IF(OR(H16="",I16=""),"",H16*I16)</f>
        <v/>
      </c>
      <c r="AS16" s="223">
        <f>IF(OR(H16="",J16=""),"",H16*J16)</f>
        <v/>
      </c>
      <c r="AT16" s="223">
        <f>IF(OR(H16="",K16=""),"",H16*K16)</f>
        <v/>
      </c>
      <c r="AU16" s="223">
        <f>IF(OR(H16="",L16=""),"",H16*L16)</f>
        <v/>
      </c>
      <c r="AV16" s="224" t="n">
        <v>0.02</v>
      </c>
      <c r="AW16" s="223">
        <f>IF(OR(H16="",AV16=""),"",H16*AV16)</f>
        <v/>
      </c>
      <c r="AX16" s="225" t="n"/>
      <c r="AY16" s="223">
        <f>IF(X16="","",X16+IF(OR(AP16="",M16=""),0,AP16/M16)+SUM(AQ16:AU16)+IF(AW16="",0,AW16)+IF(AX16="",0,AX16))</f>
        <v/>
      </c>
      <c r="AZ16" s="223">
        <f>IF(X16="","",0.13*X16/1.13)</f>
        <v/>
      </c>
      <c r="BA16" s="223">
        <f>IF(OR(H16="",AY16=""),"",H16+AZ16-AY16)</f>
        <v/>
      </c>
      <c r="BB16" s="224">
        <f>IF(OR(BA16="",H16=""),"",BA16/H16)</f>
        <v/>
      </c>
      <c r="BC16" s="223">
        <f>IF(OR(H16="",AY16=""),"",H16-AY16)</f>
        <v/>
      </c>
      <c r="BD16" s="224">
        <f>IF(OR(BC16="",H16=""),"",BC16/H16)</f>
        <v/>
      </c>
      <c r="BE16" s="205" t="inlineStr">
        <is>
          <t>义乌</t>
        </is>
      </c>
      <c r="BF16" s="231" t="inlineStr">
        <is>
          <t>ABE8</t>
        </is>
      </c>
      <c r="BG16" s="205" t="inlineStr">
        <is>
          <t>海运</t>
        </is>
      </c>
      <c r="BH16" s="226" t="inlineStr">
        <is>
          <t>（最低价）</t>
        </is>
      </c>
      <c r="BI16" s="227">
        <f>IF(OR(BE16="",BF16=""),"",IF(AND(BH16&lt;&gt;"",BH16&lt;&gt;"（最低价）"),IFERROR(IF(SUMIFS(海运报价!$F$2:$F$2000,海运报价!$C$2:$C$2000,BH16,海运报价!$D$2:$D$2000,BE16,海运报价!$E$2:$E$2000,BF16)=0,"",SUMIFS(海运报价!$F$2:$F$2000,海运报价!$C$2:$C$2000,BH16,海运报价!$D$2:$D$2000,BE16,海运报价!$E$2:$E$2000,BF16)),""),IFERROR(IF(SUMIFS(海运下拉!$H$2:$H$311,海运下拉!$F$2:$F$311,BE16,海运下拉!$G$2:$G$311,BF16)=0,"",SUMIFS(海运下拉!$H$2:$H$311,海运下拉!$F$2:$F$311,BE16,海运下拉!$G$2:$G$311,BF16)),"")))</f>
        <v/>
      </c>
      <c r="BJ16" s="227">
        <f>IF(C16="","",VLOOKUP($C16,箱规!$A$2:$S$23,18,FALSE))</f>
        <v/>
      </c>
      <c r="BK16" s="228">
        <f>IF(OR(BI16="",BJ16=""),"",BJ16*(BI16+IF(AND(BH16&lt;&gt;"",BH16&lt;&gt;"（最低价）"),IFERROR(AVERAGEIFS(海运报价!$H$2:$H$2000,海运报价!$C$2:$C$2000,BH16,海运报价!$D$2:$D$2000,BE16,海运报价!$E$2:$E$2000,BF16),0),IFERROR(SUMIFS(海运下拉!$J$2:$J$311,海运下拉!$F$2:$F$311,BE16,海运下拉!$G$2:$G$311,BF16),0))))</f>
        <v/>
      </c>
      <c r="BL16" s="247" t="n"/>
      <c r="BM16" s="229">
        <f>IF(OR(BE16="",BF16=""),"请选起运地+FBA仓",IF(AND(AND(BH16&lt;&gt;"",BH16&lt;&gt;"（最低价）"),BI16=""),"⚠该渠道不服务此仓：请重选渠道，或选「（最低价）」",IF(BI16="","无报价：请换起运地/仓库",IF(AND(BH16&lt;&gt;"",BH16&lt;&gt;"（最低价）"),"按你选的渠道「"&amp;BH16&amp;"」计价","按最低价「"&amp;IFERROR(SUMIFS(海运下拉!$I$2:$I$311,海运下拉!$F$2:$F$311,BE16,海运下拉!$G$2:$G$311,BF16),"")&amp;"」（渠道默认最低价）"))))</f>
        <v/>
      </c>
      <c r="BO16" s="1">
        <f>IF(OR($BE16="",$BF16=""),"",IFERROR(INDEX(海运报价!$C$2:$C$2000,AGGREGATE(15,6,(ROW(海运报价!$C$2:$C$2000)-ROW(海运报价!$C$2)+1)/((海运报价!$D$2:$D$2000=$BE16)*(海运报价!$E$2:$E$2000=$BF16)),1)),""))</f>
        <v/>
      </c>
      <c r="BP16" s="1">
        <f>IF(OR($BE16="",$BF16=""),"",IFERROR(INDEX(海运报价!$C$2:$C$2000,AGGREGATE(15,6,(ROW(海运报价!$C$2:$C$2000)-ROW(海运报价!$C$2)+1)/((海运报价!$D$2:$D$2000=$BE16)*(海运报价!$E$2:$E$2000=$BF16)),2)),""))</f>
        <v/>
      </c>
      <c r="BQ16" s="1">
        <f>IF(OR($BE16="",$BF16=""),"",IFERROR(INDEX(海运报价!$C$2:$C$2000,AGGREGATE(15,6,(ROW(海运报价!$C$2:$C$2000)-ROW(海运报价!$C$2)+1)/((海运报价!$D$2:$D$2000=$BE16)*(海运报价!$E$2:$E$2000=$BF16)),3)),""))</f>
        <v/>
      </c>
      <c r="BR16" s="1">
        <f>IF(OR($BE16="",$BF16=""),"",IFERROR(INDEX(海运报价!$C$2:$C$2000,AGGREGATE(15,6,(ROW(海运报价!$C$2:$C$2000)-ROW(海运报价!$C$2)+1)/((海运报价!$D$2:$D$2000=$BE16)*(海运报价!$E$2:$E$2000=$BF16)),4)),""))</f>
        <v/>
      </c>
      <c r="BS16" s="1">
        <f>IF(OR($BE16="",$BF16=""),"",IFERROR(INDEX(海运报价!$C$2:$C$2000,AGGREGATE(15,6,(ROW(海运报价!$C$2:$C$2000)-ROW(海运报价!$C$2)+1)/((海运报价!$D$2:$D$2000=$BE16)*(海运报价!$E$2:$E$2000=$BF16)),5)),""))</f>
        <v/>
      </c>
      <c r="BT16" s="1">
        <f>IF(OR($BE16="",$BF16=""),"",IFERROR(INDEX(海运报价!$C$2:$C$2000,AGGREGATE(15,6,(ROW(海运报价!$C$2:$C$2000)-ROW(海运报价!$C$2)+1)/((海运报价!$D$2:$D$2000=$BE16)*(海运报价!$E$2:$E$2000=$BF16)),6)),""))</f>
        <v/>
      </c>
      <c r="BU16" s="1">
        <f>IF(OR($BE16="",$BF16=""),"",IFERROR(INDEX(海运报价!$C$2:$C$2000,AGGREGATE(15,6,(ROW(海运报价!$C$2:$C$2000)-ROW(海运报价!$C$2)+1)/((海运报价!$D$2:$D$2000=$BE16)*(海运报价!$E$2:$E$2000=$BF16)),7)),""))</f>
        <v/>
      </c>
      <c r="BV16" s="1">
        <f>IF(OR($BE16="",$BF16=""),"",IFERROR(INDEX(海运报价!$C$2:$C$2000,AGGREGATE(15,6,(ROW(海运报价!$C$2:$C$2000)-ROW(海运报价!$C$2)+1)/((海运报价!$D$2:$D$2000=$BE16)*(海运报价!$E$2:$E$2000=$BF16)),8)),""))</f>
        <v/>
      </c>
      <c r="BW16" s="1">
        <f>IF(OR($BE16="",$BF16=""),"",IFERROR(INDEX(海运报价!$C$2:$C$2000,AGGREGATE(15,6,(ROW(海运报价!$C$2:$C$2000)-ROW(海运报价!$C$2)+1)/((海运报价!$D$2:$D$2000=$BE16)*(海运报价!$E$2:$E$2000=$BF16)),9)),""))</f>
        <v/>
      </c>
      <c r="BX16" s="1">
        <f>IF(OR($BE16="",$BF16=""),"",IFERROR(INDEX(海运报价!$C$2:$C$2000,AGGREGATE(15,6,(ROW(海运报价!$C$2:$C$2000)-ROW(海运报价!$C$2)+1)/((海运报价!$D$2:$D$2000=$BE16)*(海运报价!$E$2:$E$2000=$BF16)),10)),""))</f>
        <v/>
      </c>
      <c r="BY16" s="1">
        <f>IF(OR($BE16="",$BF16=""),"",IFERROR(INDEX(海运报价!$C$2:$C$2000,AGGREGATE(15,6,(ROW(海运报价!$C$2:$C$2000)-ROW(海运报价!$C$2)+1)/((海运报价!$D$2:$D$2000=$BE16)*(海运报价!$E$2:$E$2000=$BF16)),11)),""))</f>
        <v/>
      </c>
      <c r="BZ16" s="1">
        <f>IF(OR($BE16="",$BF16=""),"",IFERROR(INDEX(海运报价!$C$2:$C$2000,AGGREGATE(15,6,(ROW(海运报价!$C$2:$C$2000)-ROW(海运报价!$C$2)+1)/((海运报价!$D$2:$D$2000=$BE16)*(海运报价!$E$2:$E$2000=$BF16)),12)),""))</f>
        <v/>
      </c>
      <c r="CA16" s="1">
        <f>IF(OR($BE16="",$BF16=""),"",IFERROR(INDEX(海运报价!$C$2:$C$2000,AGGREGATE(15,6,(ROW(海运报价!$C$2:$C$2000)-ROW(海运报价!$C$2)+1)/((海运报价!$D$2:$D$2000=$BE16)*(海运报价!$E$2:$E$2000=$BF16)),13)),""))</f>
        <v/>
      </c>
      <c r="CB16" s="1">
        <f>IF(OR($BE16="",$BF16=""),"",IFERROR(INDEX(海运报价!$C$2:$C$2000,AGGREGATE(15,6,(ROW(海运报价!$C$2:$C$2000)-ROW(海运报价!$C$2)+1)/((海运报价!$D$2:$D$2000=$BE16)*(海运报价!$E$2:$E$2000=$BF16)),14)),""))</f>
        <v/>
      </c>
      <c r="CC16" s="1">
        <f>IF(OR($BE16="",$BF16=""),"",IFERROR(INDEX(海运报价!$C$2:$C$2000,AGGREGATE(15,6,(ROW(海运报价!$C$2:$C$2000)-ROW(海运报价!$C$2)+1)/((海运报价!$D$2:$D$2000=$BE16)*(海运报价!$E$2:$E$2000=$BF16)),15)),""))</f>
        <v/>
      </c>
      <c r="CD16" s="119">
        <f>IF(OR(X16="",M16=""),"",X16+IF(OR(AA16="",M16=""),0,AA16/M16)+IF(AB16="",0,AB16)+IF(AI16="",0,AI16)+IF(Z16="",0,Z16))</f>
        <v/>
      </c>
      <c r="CE16" s="142">
        <f>I16+J16+K16+L16+AG16</f>
        <v/>
      </c>
    </row>
    <row r="17">
      <c r="B17" s="231" t="n"/>
      <c r="C17" s="231" t="inlineStr">
        <is>
          <t>Φ4'</t>
        </is>
      </c>
      <c r="D17" s="206">
        <f>IF(C17="","",VLOOKUP($C17,箱规!$A$2:$S$23,9,FALSE))</f>
        <v/>
      </c>
      <c r="E17" s="231" t="n"/>
      <c r="F17" s="180" t="n"/>
      <c r="G17" s="170">
        <f>IF(OR(CD17="",CE17="",CE17&gt;=1,X17=""),"",ROUNDUP((CD17-0.13*X17/1.13)/(1-CE17),2))</f>
        <v/>
      </c>
      <c r="H17" s="169">
        <f>IF(OR(CD17="",CE17="",X17=""),"",IF((1-CE17-参数!$B$16)&lt;=0,"费率过高",ROUND((CD17-0.13*X17/1.13)/(1-CE17-参数!$B$16),2)))</f>
        <v/>
      </c>
      <c r="I17" s="264" t="n">
        <v>0.15</v>
      </c>
      <c r="J17" s="264" t="n">
        <v>0.07000000000000001</v>
      </c>
      <c r="K17" s="264" t="n">
        <v>0.15</v>
      </c>
      <c r="L17" s="264" t="n">
        <v>0.01</v>
      </c>
      <c r="M17" s="265">
        <f>参数!$B$2</f>
        <v/>
      </c>
      <c r="N17" s="227">
        <f>IF(C17="","",VLOOKUP($C17,箱规!$A$2:$S$23,14,FALSE))</f>
        <v/>
      </c>
      <c r="O17" s="227">
        <f>IF(C17="","",VLOOKUP($C17,箱规!$A$2:$S$23,5,FALSE))</f>
        <v/>
      </c>
      <c r="P17" s="227">
        <f>IF(C17="","",VLOOKUP($C17,箱规!$A$2:$S$23,6,FALSE))</f>
        <v/>
      </c>
      <c r="Q17" s="227">
        <f>IF(C17="","",VLOOKUP($C17,箱规!$A$2:$S$23,7,FALSE))</f>
        <v/>
      </c>
      <c r="R17" s="279">
        <f>IF(OR(N17="",O17="",P17="",Q17=""),"",MAX(N17*FBA规则!$B$6,(O17/FBA规则!$B$5)*(P17/FBA规则!$B$5)*(Q17/FBA规则!$B$5)/FBA规则!$B$7))</f>
        <v/>
      </c>
      <c r="S17" s="280">
        <f>IF(R17="","",IF(AND(N17*FBA规则!$B$6&lt;=1,MAX(O17,P17,Q17)/FBA规则!$B$5&lt;=15,MEDIAN(O17,P17,Q17)/FBA规则!$B$5&lt;=12,MIN(O17,P17,Q17)/FBA规则!$B$5&lt;=0.75),"小标准",IF(AND(R17&lt;=20,MAX(O17,P17,Q17)/FBA规则!$B$5&lt;=18,MEDIAN(O17,P17,Q17)/FBA规则!$B$5&lt;=14,MIN(O17,P17,Q17)/FBA规则!$B$5&lt;=8),"大标准",IF(AND(R17&lt;=50,MAX(O17,P17,Q17)/FBA规则!$B$5&lt;=59,MEDIAN(O17,P17,Q17)/FBA规则!$B$5&lt;=33,MIN(O17,P17,Q17)/FBA规则!$B$5&lt;=33,T17&lt;=130),"大件",IF(R17&lt;=50,"超大0-50lb",IF(R17&lt;=70,"超大50-70lb",IF(R17&lt;=150,"超大70-150lb","超大150lb+")))))))</f>
        <v/>
      </c>
      <c r="T17" s="279">
        <f>IF(OR(O17="",P17="",Q17=""),"",MAX(O17,P17,Q17)/FBA规则!$B$5+2*((MEDIAN(O17,P17,Q17)+MIN(O17,P17,Q17))/FBA规则!$B$5))</f>
        <v/>
      </c>
      <c r="U17" s="267">
        <f>参数!$B$15</f>
        <v/>
      </c>
      <c r="V17" s="268">
        <f>IF(OR(C17="",U17=""),"",(IF(OR(VLOOKUP($C17,箱规!$A$2:$S$23,4,FALSE)="",VLOOKUP($C17,箱规!$A$2:$S$23,4,FALSE)=0),VLOOKUP($C17,箱规!$A$2:$S$23,2,FALSE)*VLOOKUP($C17,箱规!$A$2:$S$23,3,FALSE)/10000,VLOOKUP($C17,箱规!$A$2:$S$23,4,FALSE)))*U17)</f>
        <v/>
      </c>
      <c r="W17" s="269" t="n"/>
      <c r="X17" s="270">
        <f>IF(AND(V17&lt;&gt;"",M17&lt;&gt;""),V17/M17,IF(AND(W17&lt;&gt;"",M17&lt;&gt;""),W17*1.13/M17,""))</f>
        <v/>
      </c>
      <c r="Y17" s="271">
        <f>IF(OR(X17="",G17=""),"",X17/G17)</f>
        <v/>
      </c>
      <c r="Z17" s="272" t="n"/>
      <c r="AA17" s="273">
        <f>IF(OR(D17="",D17=0),"",IF(BG17="陆运",IF(BL17="",0,BL17)/D17,IF(BG17="海运",IF(BK17="",0,BK17)/D17,IF(BG17="海运+陆运",(IF(BK17="",0,BK17)+IF(BL17="",0,BL17))/D17,IF(BK17="",0,BK17)/D17))))</f>
        <v/>
      </c>
      <c r="AB17" s="274">
        <f>IF(OR(S17="",R17="",参数!$B$23=""),"",IF(S17="小标准",IFERROR(INDEX(FBA规则!$B$58:$C$65,MATCH(N17*FBA规则!$B$6*16,FBA规则!$A$58:$A$65,1),IF(参数!$B$23="旺季",2,1)),INDEX(FBA规则!$B$65:$C$65,1,IF(参数!$B$23="旺季",2,1))),IF(S17="大标准",IF(R17&lt;=3,IFERROR(INDEX(FBA规则!$B$35:$C$46,MATCH(R17,FBA规则!$A$35:$A$46,1),IF(参数!$B$23="旺季",2,1)),INDEX(FBA规则!$B$46:$C$46,1,IF(参数!$B$23="旺季",2,1))),INDEX(FBA规则!$B$47:$C$47,1,IF(参数!$B$23="旺季",2,1))+FBA规则!$D$47*CEILING((R17-3)*4,1)),IF(S17="大件",INDEX(FBA规则!$B$50:$C$50,1,IF(参数!$B$23="旺季",2,1))+FBA规则!$D$50*MAX(0,CEILING(R17,1)-1),IF(S17="超大0-50lb",INDEX(FBA规则!$B$51:$C$51,1,IF(参数!$B$23="旺季",2,1))+FBA规则!$D$51*MAX(0,CEILING(R17,1)-1),IF(S17="超大50-70lb",INDEX(FBA规则!$B$52:$C$52,1,IF(参数!$B$23="旺季",2,1))+FBA规则!$D$52*MAX(0,R17-FBA规则!$F$52),IF(S17="超大70-150lb",INDEX(FBA规则!$B$53:$C$53,1,IF(参数!$B$23="旺季",2,1))+FBA规则!$D$53*MAX(0,R17-FBA规则!$F$53),INDEX(FBA规则!$B$54:$C$54,1,IF(参数!$B$23="旺季",2,1))+FBA规则!$D$54*MAX(0,R17-FBA规则!$F$54))))))))</f>
        <v/>
      </c>
      <c r="AC17" s="274">
        <f>IF(OR(G17="",I17=""),"",G17*I17)</f>
        <v/>
      </c>
      <c r="AD17" s="274">
        <f>IF(OR(G17="",J17=""),"",G17*J17)</f>
        <v/>
      </c>
      <c r="AE17" s="274">
        <f>IF(OR(G17="",K17=""),"",G17*K17)</f>
        <v/>
      </c>
      <c r="AF17" s="274">
        <f>IF(OR(G17="",L17=""),"",G17*L17)</f>
        <v/>
      </c>
      <c r="AG17" s="271" t="n">
        <v>0.02</v>
      </c>
      <c r="AH17" s="274">
        <f>IF(OR(G17="",AG17=""),"",G17*AG17)</f>
        <v/>
      </c>
      <c r="AI17" s="272" t="n"/>
      <c r="AJ17" s="274">
        <f>IF(X17="","",X17+IF(OR(AA17="",M17=""),0,AA17/M17)+SUM(AB17:AF17)+IF(AH17="",0,AH17)+IF(AI17="",0,AI17))</f>
        <v/>
      </c>
      <c r="AK17" s="274">
        <f>IF(X17="","",0.13*X17/1.13)</f>
        <v/>
      </c>
      <c r="AL17" s="274">
        <f>IF(OR(G17="",AJ17=""),"",G17+AK17-AJ17)</f>
        <v/>
      </c>
      <c r="AM17" s="271">
        <f>IF(OR(AL17="",G17=""),"",AL17/G17)</f>
        <v/>
      </c>
      <c r="AN17" s="224">
        <f>IF(OR(X17="",H17=""),"",X17/H17)</f>
        <v/>
      </c>
      <c r="AO17" s="225" t="n"/>
      <c r="AP17" s="275">
        <f>AA17</f>
        <v/>
      </c>
      <c r="AQ17" s="223">
        <f>IF(OR(S17="",R17="",参数!$B$23=""),"",IF(S17="小标准",IFERROR(INDEX(FBA规则!$B$58:$C$65,MATCH(N17*FBA规则!$B$6*16,FBA规则!$A$58:$A$65,1),IF(参数!$B$23="旺季",2,1)),INDEX(FBA规则!$B$65:$C$65,1,IF(参数!$B$23="旺季",2,1))),IF(S17="大标准",IF(R17&lt;=3,IFERROR(INDEX(FBA规则!$B$35:$C$46,MATCH(R17,FBA规则!$A$35:$A$46,1),IF(参数!$B$23="旺季",2,1)),INDEX(FBA规则!$B$46:$C$46,1,IF(参数!$B$23="旺季",2,1))),INDEX(FBA规则!$B$47:$C$47,1,IF(参数!$B$23="旺季",2,1))+FBA规则!$D$47*CEILING((R17-3)*4,1)),IF(S17="大件",INDEX(FBA规则!$B$50:$C$50,1,IF(参数!$B$23="旺季",2,1))+FBA规则!$D$50*MAX(0,CEILING(R17,1)-1),IF(S17="超大0-50lb",INDEX(FBA规则!$B$51:$C$51,1,IF(参数!$B$23="旺季",2,1))+FBA规则!$D$51*MAX(0,CEILING(R17,1)-1),IF(S17="超大50-70lb",INDEX(FBA规则!$B$52:$C$52,1,IF(参数!$B$23="旺季",2,1))+FBA规则!$D$52*MAX(0,R17-FBA规则!$F$52),IF(S17="超大70-150lb",INDEX(FBA规则!$B$53:$C$53,1,IF(参数!$B$23="旺季",2,1))+FBA规则!$D$53*MAX(0,R17-FBA规则!$F$53),INDEX(FBA规则!$B$54:$C$54,1,IF(参数!$B$23="旺季",2,1))+FBA规则!$D$54*MAX(0,R17-FBA规则!$F$54))))))))</f>
        <v/>
      </c>
      <c r="AR17" s="223">
        <f>IF(OR(H17="",I17=""),"",H17*I17)</f>
        <v/>
      </c>
      <c r="AS17" s="223">
        <f>IF(OR(H17="",J17=""),"",H17*J17)</f>
        <v/>
      </c>
      <c r="AT17" s="223">
        <f>IF(OR(H17="",K17=""),"",H17*K17)</f>
        <v/>
      </c>
      <c r="AU17" s="223">
        <f>IF(OR(H17="",L17=""),"",H17*L17)</f>
        <v/>
      </c>
      <c r="AV17" s="224" t="n">
        <v>0.02</v>
      </c>
      <c r="AW17" s="223">
        <f>IF(OR(H17="",AV17=""),"",H17*AV17)</f>
        <v/>
      </c>
      <c r="AX17" s="225" t="n"/>
      <c r="AY17" s="223">
        <f>IF(X17="","",X17+IF(OR(AP17="",M17=""),0,AP17/M17)+SUM(AQ17:AU17)+IF(AW17="",0,AW17)+IF(AX17="",0,AX17))</f>
        <v/>
      </c>
      <c r="AZ17" s="223">
        <f>IF(X17="","",0.13*X17/1.13)</f>
        <v/>
      </c>
      <c r="BA17" s="223">
        <f>IF(OR(H17="",AY17=""),"",H17+AZ17-AY17)</f>
        <v/>
      </c>
      <c r="BB17" s="224">
        <f>IF(OR(BA17="",H17=""),"",BA17/H17)</f>
        <v/>
      </c>
      <c r="BC17" s="223">
        <f>IF(OR(H17="",AY17=""),"",H17-AY17)</f>
        <v/>
      </c>
      <c r="BD17" s="224">
        <f>IF(OR(BC17="",H17=""),"",BC17/H17)</f>
        <v/>
      </c>
      <c r="BE17" s="205" t="inlineStr">
        <is>
          <t>义乌</t>
        </is>
      </c>
      <c r="BF17" s="231" t="inlineStr">
        <is>
          <t>ABE8</t>
        </is>
      </c>
      <c r="BG17" s="205" t="inlineStr">
        <is>
          <t>海运</t>
        </is>
      </c>
      <c r="BH17" s="226" t="inlineStr">
        <is>
          <t>（最低价）</t>
        </is>
      </c>
      <c r="BI17" s="227">
        <f>IF(OR(BE17="",BF17=""),"",IF(AND(BH17&lt;&gt;"",BH17&lt;&gt;"（最低价）"),IFERROR(IF(SUMIFS(海运报价!$F$2:$F$2000,海运报价!$C$2:$C$2000,BH17,海运报价!$D$2:$D$2000,BE17,海运报价!$E$2:$E$2000,BF17)=0,"",SUMIFS(海运报价!$F$2:$F$2000,海运报价!$C$2:$C$2000,BH17,海运报价!$D$2:$D$2000,BE17,海运报价!$E$2:$E$2000,BF17)),""),IFERROR(IF(SUMIFS(海运下拉!$H$2:$H$311,海运下拉!$F$2:$F$311,BE17,海运下拉!$G$2:$G$311,BF17)=0,"",SUMIFS(海运下拉!$H$2:$H$311,海运下拉!$F$2:$F$311,BE17,海运下拉!$G$2:$G$311,BF17)),"")))</f>
        <v/>
      </c>
      <c r="BJ17" s="227">
        <f>IF(C17="","",VLOOKUP($C17,箱规!$A$2:$S$23,18,FALSE))</f>
        <v/>
      </c>
      <c r="BK17" s="228">
        <f>IF(OR(BI17="",BJ17=""),"",BJ17*(BI17+IF(AND(BH17&lt;&gt;"",BH17&lt;&gt;"（最低价）"),IFERROR(AVERAGEIFS(海运报价!$H$2:$H$2000,海运报价!$C$2:$C$2000,BH17,海运报价!$D$2:$D$2000,BE17,海运报价!$E$2:$E$2000,BF17),0),IFERROR(SUMIFS(海运下拉!$J$2:$J$311,海运下拉!$F$2:$F$311,BE17,海运下拉!$G$2:$G$311,BF17),0))))</f>
        <v/>
      </c>
      <c r="BL17" s="247" t="n"/>
      <c r="BM17" s="229">
        <f>IF(OR(BE17="",BF17=""),"请选起运地+FBA仓",IF(AND(AND(BH17&lt;&gt;"",BH17&lt;&gt;"（最低价）"),BI17=""),"⚠该渠道不服务此仓：请重选渠道，或选「（最低价）」",IF(BI17="","无报价：请换起运地/仓库",IF(AND(BH17&lt;&gt;"",BH17&lt;&gt;"（最低价）"),"按你选的渠道「"&amp;BH17&amp;"」计价","按最低价「"&amp;IFERROR(SUMIFS(海运下拉!$I$2:$I$311,海运下拉!$F$2:$F$311,BE17,海运下拉!$G$2:$G$311,BF17),"")&amp;"」（渠道默认最低价）"))))</f>
        <v/>
      </c>
      <c r="BO17" s="1">
        <f>IF(OR($BE17="",$BF17=""),"",IFERROR(INDEX(海运报价!$C$2:$C$2000,AGGREGATE(15,6,(ROW(海运报价!$C$2:$C$2000)-ROW(海运报价!$C$2)+1)/((海运报价!$D$2:$D$2000=$BE17)*(海运报价!$E$2:$E$2000=$BF17)),1)),""))</f>
        <v/>
      </c>
      <c r="BP17" s="1">
        <f>IF(OR($BE17="",$BF17=""),"",IFERROR(INDEX(海运报价!$C$2:$C$2000,AGGREGATE(15,6,(ROW(海运报价!$C$2:$C$2000)-ROW(海运报价!$C$2)+1)/((海运报价!$D$2:$D$2000=$BE17)*(海运报价!$E$2:$E$2000=$BF17)),2)),""))</f>
        <v/>
      </c>
      <c r="BQ17" s="1">
        <f>IF(OR($BE17="",$BF17=""),"",IFERROR(INDEX(海运报价!$C$2:$C$2000,AGGREGATE(15,6,(ROW(海运报价!$C$2:$C$2000)-ROW(海运报价!$C$2)+1)/((海运报价!$D$2:$D$2000=$BE17)*(海运报价!$E$2:$E$2000=$BF17)),3)),""))</f>
        <v/>
      </c>
      <c r="BR17" s="1">
        <f>IF(OR($BE17="",$BF17=""),"",IFERROR(INDEX(海运报价!$C$2:$C$2000,AGGREGATE(15,6,(ROW(海运报价!$C$2:$C$2000)-ROW(海运报价!$C$2)+1)/((海运报价!$D$2:$D$2000=$BE17)*(海运报价!$E$2:$E$2000=$BF17)),4)),""))</f>
        <v/>
      </c>
      <c r="BS17" s="1">
        <f>IF(OR($BE17="",$BF17=""),"",IFERROR(INDEX(海运报价!$C$2:$C$2000,AGGREGATE(15,6,(ROW(海运报价!$C$2:$C$2000)-ROW(海运报价!$C$2)+1)/((海运报价!$D$2:$D$2000=$BE17)*(海运报价!$E$2:$E$2000=$BF17)),5)),""))</f>
        <v/>
      </c>
      <c r="BT17" s="1">
        <f>IF(OR($BE17="",$BF17=""),"",IFERROR(INDEX(海运报价!$C$2:$C$2000,AGGREGATE(15,6,(ROW(海运报价!$C$2:$C$2000)-ROW(海运报价!$C$2)+1)/((海运报价!$D$2:$D$2000=$BE17)*(海运报价!$E$2:$E$2000=$BF17)),6)),""))</f>
        <v/>
      </c>
      <c r="BU17" s="1">
        <f>IF(OR($BE17="",$BF17=""),"",IFERROR(INDEX(海运报价!$C$2:$C$2000,AGGREGATE(15,6,(ROW(海运报价!$C$2:$C$2000)-ROW(海运报价!$C$2)+1)/((海运报价!$D$2:$D$2000=$BE17)*(海运报价!$E$2:$E$2000=$BF17)),7)),""))</f>
        <v/>
      </c>
      <c r="BV17" s="1">
        <f>IF(OR($BE17="",$BF17=""),"",IFERROR(INDEX(海运报价!$C$2:$C$2000,AGGREGATE(15,6,(ROW(海运报价!$C$2:$C$2000)-ROW(海运报价!$C$2)+1)/((海运报价!$D$2:$D$2000=$BE17)*(海运报价!$E$2:$E$2000=$BF17)),8)),""))</f>
        <v/>
      </c>
      <c r="BW17" s="1">
        <f>IF(OR($BE17="",$BF17=""),"",IFERROR(INDEX(海运报价!$C$2:$C$2000,AGGREGATE(15,6,(ROW(海运报价!$C$2:$C$2000)-ROW(海运报价!$C$2)+1)/((海运报价!$D$2:$D$2000=$BE17)*(海运报价!$E$2:$E$2000=$BF17)),9)),""))</f>
        <v/>
      </c>
      <c r="BX17" s="1">
        <f>IF(OR($BE17="",$BF17=""),"",IFERROR(INDEX(海运报价!$C$2:$C$2000,AGGREGATE(15,6,(ROW(海运报价!$C$2:$C$2000)-ROW(海运报价!$C$2)+1)/((海运报价!$D$2:$D$2000=$BE17)*(海运报价!$E$2:$E$2000=$BF17)),10)),""))</f>
        <v/>
      </c>
      <c r="BY17" s="1">
        <f>IF(OR($BE17="",$BF17=""),"",IFERROR(INDEX(海运报价!$C$2:$C$2000,AGGREGATE(15,6,(ROW(海运报价!$C$2:$C$2000)-ROW(海运报价!$C$2)+1)/((海运报价!$D$2:$D$2000=$BE17)*(海运报价!$E$2:$E$2000=$BF17)),11)),""))</f>
        <v/>
      </c>
      <c r="BZ17" s="1">
        <f>IF(OR($BE17="",$BF17=""),"",IFERROR(INDEX(海运报价!$C$2:$C$2000,AGGREGATE(15,6,(ROW(海运报价!$C$2:$C$2000)-ROW(海运报价!$C$2)+1)/((海运报价!$D$2:$D$2000=$BE17)*(海运报价!$E$2:$E$2000=$BF17)),12)),""))</f>
        <v/>
      </c>
      <c r="CA17" s="1">
        <f>IF(OR($BE17="",$BF17=""),"",IFERROR(INDEX(海运报价!$C$2:$C$2000,AGGREGATE(15,6,(ROW(海运报价!$C$2:$C$2000)-ROW(海运报价!$C$2)+1)/((海运报价!$D$2:$D$2000=$BE17)*(海运报价!$E$2:$E$2000=$BF17)),13)),""))</f>
        <v/>
      </c>
      <c r="CB17" s="1">
        <f>IF(OR($BE17="",$BF17=""),"",IFERROR(INDEX(海运报价!$C$2:$C$2000,AGGREGATE(15,6,(ROW(海运报价!$C$2:$C$2000)-ROW(海运报价!$C$2)+1)/((海运报价!$D$2:$D$2000=$BE17)*(海运报价!$E$2:$E$2000=$BF17)),14)),""))</f>
        <v/>
      </c>
      <c r="CC17" s="1">
        <f>IF(OR($BE17="",$BF17=""),"",IFERROR(INDEX(海运报价!$C$2:$C$2000,AGGREGATE(15,6,(ROW(海运报价!$C$2:$C$2000)-ROW(海运报价!$C$2)+1)/((海运报价!$D$2:$D$2000=$BE17)*(海运报价!$E$2:$E$2000=$BF17)),15)),""))</f>
        <v/>
      </c>
      <c r="CD17" s="119">
        <f>IF(OR(X17="",M17=""),"",X17+IF(OR(AA17="",M17=""),0,AA17/M17)+IF(AB17="",0,AB17)+IF(AI17="",0,AI17)+IF(Z17="",0,Z17))</f>
        <v/>
      </c>
      <c r="CE17" s="142">
        <f>I17+J17+K17+L17+AG17</f>
        <v/>
      </c>
    </row>
    <row r="18">
      <c r="B18" s="231" t="n"/>
      <c r="C18" s="231" t="inlineStr">
        <is>
          <t>Φ6'</t>
        </is>
      </c>
      <c r="D18" s="206">
        <f>IF(C18="","",VLOOKUP($C18,箱规!$A$2:$S$23,9,FALSE))</f>
        <v/>
      </c>
      <c r="E18" s="231" t="n"/>
      <c r="F18" s="180" t="n"/>
      <c r="G18" s="170">
        <f>IF(OR(CD18="",CE18="",CE18&gt;=1,X18=""),"",ROUNDUP((CD18-0.13*X18/1.13)/(1-CE18),2))</f>
        <v/>
      </c>
      <c r="H18" s="169">
        <f>IF(OR(CD18="",CE18="",X18=""),"",IF((1-CE18-参数!$B$16)&lt;=0,"费率过高",ROUND((CD18-0.13*X18/1.13)/(1-CE18-参数!$B$16),2)))</f>
        <v/>
      </c>
      <c r="I18" s="264" t="n">
        <v>0.15</v>
      </c>
      <c r="J18" s="264" t="n">
        <v>0.07000000000000001</v>
      </c>
      <c r="K18" s="264" t="n">
        <v>0.15</v>
      </c>
      <c r="L18" s="264" t="n">
        <v>0.01</v>
      </c>
      <c r="M18" s="265">
        <f>参数!$B$2</f>
        <v/>
      </c>
      <c r="N18" s="227">
        <f>IF(C18="","",VLOOKUP($C18,箱规!$A$2:$S$23,14,FALSE))</f>
        <v/>
      </c>
      <c r="O18" s="227">
        <f>IF(C18="","",VLOOKUP($C18,箱规!$A$2:$S$23,5,FALSE))</f>
        <v/>
      </c>
      <c r="P18" s="227">
        <f>IF(C18="","",VLOOKUP($C18,箱规!$A$2:$S$23,6,FALSE))</f>
        <v/>
      </c>
      <c r="Q18" s="227">
        <f>IF(C18="","",VLOOKUP($C18,箱规!$A$2:$S$23,7,FALSE))</f>
        <v/>
      </c>
      <c r="R18" s="279">
        <f>IF(OR(N18="",O18="",P18="",Q18=""),"",MAX(N18*FBA规则!$B$6,(O18/FBA规则!$B$5)*(P18/FBA规则!$B$5)*(Q18/FBA规则!$B$5)/FBA规则!$B$7))</f>
        <v/>
      </c>
      <c r="S18" s="280">
        <f>IF(R18="","",IF(AND(N18*FBA规则!$B$6&lt;=1,MAX(O18,P18,Q18)/FBA规则!$B$5&lt;=15,MEDIAN(O18,P18,Q18)/FBA规则!$B$5&lt;=12,MIN(O18,P18,Q18)/FBA规则!$B$5&lt;=0.75),"小标准",IF(AND(R18&lt;=20,MAX(O18,P18,Q18)/FBA规则!$B$5&lt;=18,MEDIAN(O18,P18,Q18)/FBA规则!$B$5&lt;=14,MIN(O18,P18,Q18)/FBA规则!$B$5&lt;=8),"大标准",IF(AND(R18&lt;=50,MAX(O18,P18,Q18)/FBA规则!$B$5&lt;=59,MEDIAN(O18,P18,Q18)/FBA规则!$B$5&lt;=33,MIN(O18,P18,Q18)/FBA规则!$B$5&lt;=33,T18&lt;=130),"大件",IF(R18&lt;=50,"超大0-50lb",IF(R18&lt;=70,"超大50-70lb",IF(R18&lt;=150,"超大70-150lb","超大150lb+")))))))</f>
        <v/>
      </c>
      <c r="T18" s="279">
        <f>IF(OR(O18="",P18="",Q18=""),"",MAX(O18,P18,Q18)/FBA规则!$B$5+2*((MEDIAN(O18,P18,Q18)+MIN(O18,P18,Q18))/FBA规则!$B$5))</f>
        <v/>
      </c>
      <c r="U18" s="267">
        <f>参数!$B$15</f>
        <v/>
      </c>
      <c r="V18" s="268">
        <f>IF(OR(C18="",U18=""),"",(IF(OR(VLOOKUP($C18,箱规!$A$2:$S$23,4,FALSE)="",VLOOKUP($C18,箱规!$A$2:$S$23,4,FALSE)=0),VLOOKUP($C18,箱规!$A$2:$S$23,2,FALSE)*VLOOKUP($C18,箱规!$A$2:$S$23,3,FALSE)/10000,VLOOKUP($C18,箱规!$A$2:$S$23,4,FALSE)))*U18)</f>
        <v/>
      </c>
      <c r="W18" s="269" t="n"/>
      <c r="X18" s="270">
        <f>IF(AND(V18&lt;&gt;"",M18&lt;&gt;""),V18/M18,IF(AND(W18&lt;&gt;"",M18&lt;&gt;""),W18*1.13/M18,""))</f>
        <v/>
      </c>
      <c r="Y18" s="271">
        <f>IF(OR(X18="",G18=""),"",X18/G18)</f>
        <v/>
      </c>
      <c r="Z18" s="272" t="n"/>
      <c r="AA18" s="273">
        <f>IF(OR(D18="",D18=0),"",IF(BG18="陆运",IF(BL18="",0,BL18)/D18,IF(BG18="海运",IF(BK18="",0,BK18)/D18,IF(BG18="海运+陆运",(IF(BK18="",0,BK18)+IF(BL18="",0,BL18))/D18,IF(BK18="",0,BK18)/D18))))</f>
        <v/>
      </c>
      <c r="AB18" s="274">
        <f>IF(OR(S18="",R18="",参数!$B$23=""),"",IF(S18="小标准",IFERROR(INDEX(FBA规则!$B$58:$C$65,MATCH(N18*FBA规则!$B$6*16,FBA规则!$A$58:$A$65,1),IF(参数!$B$23="旺季",2,1)),INDEX(FBA规则!$B$65:$C$65,1,IF(参数!$B$23="旺季",2,1))),IF(S18="大标准",IF(R18&lt;=3,IFERROR(INDEX(FBA规则!$B$35:$C$46,MATCH(R18,FBA规则!$A$35:$A$46,1),IF(参数!$B$23="旺季",2,1)),INDEX(FBA规则!$B$46:$C$46,1,IF(参数!$B$23="旺季",2,1))),INDEX(FBA规则!$B$47:$C$47,1,IF(参数!$B$23="旺季",2,1))+FBA规则!$D$47*CEILING((R18-3)*4,1)),IF(S18="大件",INDEX(FBA规则!$B$50:$C$50,1,IF(参数!$B$23="旺季",2,1))+FBA规则!$D$50*MAX(0,CEILING(R18,1)-1),IF(S18="超大0-50lb",INDEX(FBA规则!$B$51:$C$51,1,IF(参数!$B$23="旺季",2,1))+FBA规则!$D$51*MAX(0,CEILING(R18,1)-1),IF(S18="超大50-70lb",INDEX(FBA规则!$B$52:$C$52,1,IF(参数!$B$23="旺季",2,1))+FBA规则!$D$52*MAX(0,R18-FBA规则!$F$52),IF(S18="超大70-150lb",INDEX(FBA规则!$B$53:$C$53,1,IF(参数!$B$23="旺季",2,1))+FBA规则!$D$53*MAX(0,R18-FBA规则!$F$53),INDEX(FBA规则!$B$54:$C$54,1,IF(参数!$B$23="旺季",2,1))+FBA规则!$D$54*MAX(0,R18-FBA规则!$F$54))))))))</f>
        <v/>
      </c>
      <c r="AC18" s="274">
        <f>IF(OR(G18="",I18=""),"",G18*I18)</f>
        <v/>
      </c>
      <c r="AD18" s="274">
        <f>IF(OR(G18="",J18=""),"",G18*J18)</f>
        <v/>
      </c>
      <c r="AE18" s="274">
        <f>IF(OR(G18="",K18=""),"",G18*K18)</f>
        <v/>
      </c>
      <c r="AF18" s="274">
        <f>IF(OR(G18="",L18=""),"",G18*L18)</f>
        <v/>
      </c>
      <c r="AG18" s="271" t="n">
        <v>0.02</v>
      </c>
      <c r="AH18" s="274">
        <f>IF(OR(G18="",AG18=""),"",G18*AG18)</f>
        <v/>
      </c>
      <c r="AI18" s="272" t="n"/>
      <c r="AJ18" s="274">
        <f>IF(X18="","",X18+IF(OR(AA18="",M18=""),0,AA18/M18)+SUM(AB18:AF18)+IF(AH18="",0,AH18)+IF(AI18="",0,AI18))</f>
        <v/>
      </c>
      <c r="AK18" s="274">
        <f>IF(X18="","",0.13*X18/1.13)</f>
        <v/>
      </c>
      <c r="AL18" s="274">
        <f>IF(OR(G18="",AJ18=""),"",G18+AK18-AJ18)</f>
        <v/>
      </c>
      <c r="AM18" s="271">
        <f>IF(OR(AL18="",G18=""),"",AL18/G18)</f>
        <v/>
      </c>
      <c r="AN18" s="224">
        <f>IF(OR(X18="",H18=""),"",X18/H18)</f>
        <v/>
      </c>
      <c r="AO18" s="225" t="n"/>
      <c r="AP18" s="275">
        <f>AA18</f>
        <v/>
      </c>
      <c r="AQ18" s="223">
        <f>IF(OR(S18="",R18="",参数!$B$23=""),"",IF(S18="小标准",IFERROR(INDEX(FBA规则!$B$58:$C$65,MATCH(N18*FBA规则!$B$6*16,FBA规则!$A$58:$A$65,1),IF(参数!$B$23="旺季",2,1)),INDEX(FBA规则!$B$65:$C$65,1,IF(参数!$B$23="旺季",2,1))),IF(S18="大标准",IF(R18&lt;=3,IFERROR(INDEX(FBA规则!$B$35:$C$46,MATCH(R18,FBA规则!$A$35:$A$46,1),IF(参数!$B$23="旺季",2,1)),INDEX(FBA规则!$B$46:$C$46,1,IF(参数!$B$23="旺季",2,1))),INDEX(FBA规则!$B$47:$C$47,1,IF(参数!$B$23="旺季",2,1))+FBA规则!$D$47*CEILING((R18-3)*4,1)),IF(S18="大件",INDEX(FBA规则!$B$50:$C$50,1,IF(参数!$B$23="旺季",2,1))+FBA规则!$D$50*MAX(0,CEILING(R18,1)-1),IF(S18="超大0-50lb",INDEX(FBA规则!$B$51:$C$51,1,IF(参数!$B$23="旺季",2,1))+FBA规则!$D$51*MAX(0,CEILING(R18,1)-1),IF(S18="超大50-70lb",INDEX(FBA规则!$B$52:$C$52,1,IF(参数!$B$23="旺季",2,1))+FBA规则!$D$52*MAX(0,R18-FBA规则!$F$52),IF(S18="超大70-150lb",INDEX(FBA规则!$B$53:$C$53,1,IF(参数!$B$23="旺季",2,1))+FBA规则!$D$53*MAX(0,R18-FBA规则!$F$53),INDEX(FBA规则!$B$54:$C$54,1,IF(参数!$B$23="旺季",2,1))+FBA规则!$D$54*MAX(0,R18-FBA规则!$F$54))))))))</f>
        <v/>
      </c>
      <c r="AR18" s="223">
        <f>IF(OR(H18="",I18=""),"",H18*I18)</f>
        <v/>
      </c>
      <c r="AS18" s="223">
        <f>IF(OR(H18="",J18=""),"",H18*J18)</f>
        <v/>
      </c>
      <c r="AT18" s="223">
        <f>IF(OR(H18="",K18=""),"",H18*K18)</f>
        <v/>
      </c>
      <c r="AU18" s="223">
        <f>IF(OR(H18="",L18=""),"",H18*L18)</f>
        <v/>
      </c>
      <c r="AV18" s="224" t="n">
        <v>0.02</v>
      </c>
      <c r="AW18" s="223">
        <f>IF(OR(H18="",AV18=""),"",H18*AV18)</f>
        <v/>
      </c>
      <c r="AX18" s="225" t="n"/>
      <c r="AY18" s="223">
        <f>IF(X18="","",X18+IF(OR(AP18="",M18=""),0,AP18/M18)+SUM(AQ18:AU18)+IF(AW18="",0,AW18)+IF(AX18="",0,AX18))</f>
        <v/>
      </c>
      <c r="AZ18" s="223">
        <f>IF(X18="","",0.13*X18/1.13)</f>
        <v/>
      </c>
      <c r="BA18" s="223">
        <f>IF(OR(H18="",AY18=""),"",H18+AZ18-AY18)</f>
        <v/>
      </c>
      <c r="BB18" s="224">
        <f>IF(OR(BA18="",H18=""),"",BA18/H18)</f>
        <v/>
      </c>
      <c r="BC18" s="223">
        <f>IF(OR(H18="",AY18=""),"",H18-AY18)</f>
        <v/>
      </c>
      <c r="BD18" s="224">
        <f>IF(OR(BC18="",H18=""),"",BC18/H18)</f>
        <v/>
      </c>
      <c r="BE18" s="205" t="inlineStr">
        <is>
          <t>义乌</t>
        </is>
      </c>
      <c r="BF18" s="231" t="inlineStr">
        <is>
          <t>ABE8</t>
        </is>
      </c>
      <c r="BG18" s="205" t="inlineStr">
        <is>
          <t>海运</t>
        </is>
      </c>
      <c r="BH18" s="226" t="inlineStr">
        <is>
          <t>（最低价）</t>
        </is>
      </c>
      <c r="BI18" s="227">
        <f>IF(OR(BE18="",BF18=""),"",IF(AND(BH18&lt;&gt;"",BH18&lt;&gt;"（最低价）"),IFERROR(IF(SUMIFS(海运报价!$F$2:$F$2000,海运报价!$C$2:$C$2000,BH18,海运报价!$D$2:$D$2000,BE18,海运报价!$E$2:$E$2000,BF18)=0,"",SUMIFS(海运报价!$F$2:$F$2000,海运报价!$C$2:$C$2000,BH18,海运报价!$D$2:$D$2000,BE18,海运报价!$E$2:$E$2000,BF18)),""),IFERROR(IF(SUMIFS(海运下拉!$H$2:$H$311,海运下拉!$F$2:$F$311,BE18,海运下拉!$G$2:$G$311,BF18)=0,"",SUMIFS(海运下拉!$H$2:$H$311,海运下拉!$F$2:$F$311,BE18,海运下拉!$G$2:$G$311,BF18)),"")))</f>
        <v/>
      </c>
      <c r="BJ18" s="227">
        <f>IF(C18="","",VLOOKUP($C18,箱规!$A$2:$S$23,18,FALSE))</f>
        <v/>
      </c>
      <c r="BK18" s="228">
        <f>IF(OR(BI18="",BJ18=""),"",BJ18*(BI18+IF(AND(BH18&lt;&gt;"",BH18&lt;&gt;"（最低价）"),IFERROR(AVERAGEIFS(海运报价!$H$2:$H$2000,海运报价!$C$2:$C$2000,BH18,海运报价!$D$2:$D$2000,BE18,海运报价!$E$2:$E$2000,BF18),0),IFERROR(SUMIFS(海运下拉!$J$2:$J$311,海运下拉!$F$2:$F$311,BE18,海运下拉!$G$2:$G$311,BF18),0))))</f>
        <v/>
      </c>
      <c r="BL18" s="247" t="n"/>
      <c r="BM18" s="229">
        <f>IF(OR(BE18="",BF18=""),"请选起运地+FBA仓",IF(AND(AND(BH18&lt;&gt;"",BH18&lt;&gt;"（最低价）"),BI18=""),"⚠该渠道不服务此仓：请重选渠道，或选「（最低价）」",IF(BI18="","无报价：请换起运地/仓库",IF(AND(BH18&lt;&gt;"",BH18&lt;&gt;"（最低价）"),"按你选的渠道「"&amp;BH18&amp;"」计价","按最低价「"&amp;IFERROR(SUMIFS(海运下拉!$I$2:$I$311,海运下拉!$F$2:$F$311,BE18,海运下拉!$G$2:$G$311,BF18),"")&amp;"」（渠道默认最低价）"))))</f>
        <v/>
      </c>
      <c r="BO18" s="1">
        <f>IF(OR($BE18="",$BF18=""),"",IFERROR(INDEX(海运报价!$C$2:$C$2000,AGGREGATE(15,6,(ROW(海运报价!$C$2:$C$2000)-ROW(海运报价!$C$2)+1)/((海运报价!$D$2:$D$2000=$BE18)*(海运报价!$E$2:$E$2000=$BF18)),1)),""))</f>
        <v/>
      </c>
      <c r="BP18" s="1">
        <f>IF(OR($BE18="",$BF18=""),"",IFERROR(INDEX(海运报价!$C$2:$C$2000,AGGREGATE(15,6,(ROW(海运报价!$C$2:$C$2000)-ROW(海运报价!$C$2)+1)/((海运报价!$D$2:$D$2000=$BE18)*(海运报价!$E$2:$E$2000=$BF18)),2)),""))</f>
        <v/>
      </c>
      <c r="BQ18" s="1">
        <f>IF(OR($BE18="",$BF18=""),"",IFERROR(INDEX(海运报价!$C$2:$C$2000,AGGREGATE(15,6,(ROW(海运报价!$C$2:$C$2000)-ROW(海运报价!$C$2)+1)/((海运报价!$D$2:$D$2000=$BE18)*(海运报价!$E$2:$E$2000=$BF18)),3)),""))</f>
        <v/>
      </c>
      <c r="BR18" s="1">
        <f>IF(OR($BE18="",$BF18=""),"",IFERROR(INDEX(海运报价!$C$2:$C$2000,AGGREGATE(15,6,(ROW(海运报价!$C$2:$C$2000)-ROW(海运报价!$C$2)+1)/((海运报价!$D$2:$D$2000=$BE18)*(海运报价!$E$2:$E$2000=$BF18)),4)),""))</f>
        <v/>
      </c>
      <c r="BS18" s="1">
        <f>IF(OR($BE18="",$BF18=""),"",IFERROR(INDEX(海运报价!$C$2:$C$2000,AGGREGATE(15,6,(ROW(海运报价!$C$2:$C$2000)-ROW(海运报价!$C$2)+1)/((海运报价!$D$2:$D$2000=$BE18)*(海运报价!$E$2:$E$2000=$BF18)),5)),""))</f>
        <v/>
      </c>
      <c r="BT18" s="1">
        <f>IF(OR($BE18="",$BF18=""),"",IFERROR(INDEX(海运报价!$C$2:$C$2000,AGGREGATE(15,6,(ROW(海运报价!$C$2:$C$2000)-ROW(海运报价!$C$2)+1)/((海运报价!$D$2:$D$2000=$BE18)*(海运报价!$E$2:$E$2000=$BF18)),6)),""))</f>
        <v/>
      </c>
      <c r="BU18" s="1">
        <f>IF(OR($BE18="",$BF18=""),"",IFERROR(INDEX(海运报价!$C$2:$C$2000,AGGREGATE(15,6,(ROW(海运报价!$C$2:$C$2000)-ROW(海运报价!$C$2)+1)/((海运报价!$D$2:$D$2000=$BE18)*(海运报价!$E$2:$E$2000=$BF18)),7)),""))</f>
        <v/>
      </c>
      <c r="BV18" s="1">
        <f>IF(OR($BE18="",$BF18=""),"",IFERROR(INDEX(海运报价!$C$2:$C$2000,AGGREGATE(15,6,(ROW(海运报价!$C$2:$C$2000)-ROW(海运报价!$C$2)+1)/((海运报价!$D$2:$D$2000=$BE18)*(海运报价!$E$2:$E$2000=$BF18)),8)),""))</f>
        <v/>
      </c>
      <c r="BW18" s="1">
        <f>IF(OR($BE18="",$BF18=""),"",IFERROR(INDEX(海运报价!$C$2:$C$2000,AGGREGATE(15,6,(ROW(海运报价!$C$2:$C$2000)-ROW(海运报价!$C$2)+1)/((海运报价!$D$2:$D$2000=$BE18)*(海运报价!$E$2:$E$2000=$BF18)),9)),""))</f>
        <v/>
      </c>
      <c r="BX18" s="1">
        <f>IF(OR($BE18="",$BF18=""),"",IFERROR(INDEX(海运报价!$C$2:$C$2000,AGGREGATE(15,6,(ROW(海运报价!$C$2:$C$2000)-ROW(海运报价!$C$2)+1)/((海运报价!$D$2:$D$2000=$BE18)*(海运报价!$E$2:$E$2000=$BF18)),10)),""))</f>
        <v/>
      </c>
      <c r="BY18" s="1">
        <f>IF(OR($BE18="",$BF18=""),"",IFERROR(INDEX(海运报价!$C$2:$C$2000,AGGREGATE(15,6,(ROW(海运报价!$C$2:$C$2000)-ROW(海运报价!$C$2)+1)/((海运报价!$D$2:$D$2000=$BE18)*(海运报价!$E$2:$E$2000=$BF18)),11)),""))</f>
        <v/>
      </c>
      <c r="BZ18" s="1">
        <f>IF(OR($BE18="",$BF18=""),"",IFERROR(INDEX(海运报价!$C$2:$C$2000,AGGREGATE(15,6,(ROW(海运报价!$C$2:$C$2000)-ROW(海运报价!$C$2)+1)/((海运报价!$D$2:$D$2000=$BE18)*(海运报价!$E$2:$E$2000=$BF18)),12)),""))</f>
        <v/>
      </c>
      <c r="CA18" s="1">
        <f>IF(OR($BE18="",$BF18=""),"",IFERROR(INDEX(海运报价!$C$2:$C$2000,AGGREGATE(15,6,(ROW(海运报价!$C$2:$C$2000)-ROW(海运报价!$C$2)+1)/((海运报价!$D$2:$D$2000=$BE18)*(海运报价!$E$2:$E$2000=$BF18)),13)),""))</f>
        <v/>
      </c>
      <c r="CB18" s="1">
        <f>IF(OR($BE18="",$BF18=""),"",IFERROR(INDEX(海运报价!$C$2:$C$2000,AGGREGATE(15,6,(ROW(海运报价!$C$2:$C$2000)-ROW(海运报价!$C$2)+1)/((海运报价!$D$2:$D$2000=$BE18)*(海运报价!$E$2:$E$2000=$BF18)),14)),""))</f>
        <v/>
      </c>
      <c r="CC18" s="1">
        <f>IF(OR($BE18="",$BF18=""),"",IFERROR(INDEX(海运报价!$C$2:$C$2000,AGGREGATE(15,6,(ROW(海运报价!$C$2:$C$2000)-ROW(海运报价!$C$2)+1)/((海运报价!$D$2:$D$2000=$BE18)*(海运报价!$E$2:$E$2000=$BF18)),15)),""))</f>
        <v/>
      </c>
      <c r="CD18" s="119">
        <f>IF(OR(X18="",M18=""),"",X18+IF(OR(AA18="",M18=""),0,AA18/M18)+IF(AB18="",0,AB18)+IF(AI18="",0,AI18)+IF(Z18="",0,Z18))</f>
        <v/>
      </c>
      <c r="CE18" s="142">
        <f>I18+J18+K18+L18+AG18</f>
        <v/>
      </c>
    </row>
    <row r="19">
      <c r="B19" s="231" t="n"/>
      <c r="C19" s="231" t="inlineStr">
        <is>
          <t>Φ8'</t>
        </is>
      </c>
      <c r="D19" s="206">
        <f>IF(C19="","",VLOOKUP($C19,箱规!$A$2:$S$23,9,FALSE))</f>
        <v/>
      </c>
      <c r="E19" s="231" t="n"/>
      <c r="F19" s="180" t="n"/>
      <c r="G19" s="170">
        <f>IF(OR(CD19="",CE19="",CE19&gt;=1,X19=""),"",ROUNDUP((CD19-0.13*X19/1.13)/(1-CE19),2))</f>
        <v/>
      </c>
      <c r="H19" s="169">
        <f>IF(OR(CD19="",CE19="",X19=""),"",IF((1-CE19-参数!$B$16)&lt;=0,"费率过高",ROUND((CD19-0.13*X19/1.13)/(1-CE19-参数!$B$16),2)))</f>
        <v/>
      </c>
      <c r="I19" s="264" t="n">
        <v>0.15</v>
      </c>
      <c r="J19" s="264" t="n">
        <v>0.07000000000000001</v>
      </c>
      <c r="K19" s="264" t="n">
        <v>0.15</v>
      </c>
      <c r="L19" s="264" t="n">
        <v>0.01</v>
      </c>
      <c r="M19" s="265">
        <f>参数!$B$2</f>
        <v/>
      </c>
      <c r="N19" s="227">
        <f>IF(C19="","",VLOOKUP($C19,箱规!$A$2:$S$23,14,FALSE))</f>
        <v/>
      </c>
      <c r="O19" s="227">
        <f>IF(C19="","",VLOOKUP($C19,箱规!$A$2:$S$23,5,FALSE))</f>
        <v/>
      </c>
      <c r="P19" s="227">
        <f>IF(C19="","",VLOOKUP($C19,箱规!$A$2:$S$23,6,FALSE))</f>
        <v/>
      </c>
      <c r="Q19" s="227">
        <f>IF(C19="","",VLOOKUP($C19,箱规!$A$2:$S$23,7,FALSE))</f>
        <v/>
      </c>
      <c r="R19" s="279">
        <f>IF(OR(N19="",O19="",P19="",Q19=""),"",MAX(N19*FBA规则!$B$6,(O19/FBA规则!$B$5)*(P19/FBA规则!$B$5)*(Q19/FBA规则!$B$5)/FBA规则!$B$7))</f>
        <v/>
      </c>
      <c r="S19" s="280">
        <f>IF(R19="","",IF(AND(N19*FBA规则!$B$6&lt;=1,MAX(O19,P19,Q19)/FBA规则!$B$5&lt;=15,MEDIAN(O19,P19,Q19)/FBA规则!$B$5&lt;=12,MIN(O19,P19,Q19)/FBA规则!$B$5&lt;=0.75),"小标准",IF(AND(R19&lt;=20,MAX(O19,P19,Q19)/FBA规则!$B$5&lt;=18,MEDIAN(O19,P19,Q19)/FBA规则!$B$5&lt;=14,MIN(O19,P19,Q19)/FBA规则!$B$5&lt;=8),"大标准",IF(AND(R19&lt;=50,MAX(O19,P19,Q19)/FBA规则!$B$5&lt;=59,MEDIAN(O19,P19,Q19)/FBA规则!$B$5&lt;=33,MIN(O19,P19,Q19)/FBA规则!$B$5&lt;=33,T19&lt;=130),"大件",IF(R19&lt;=50,"超大0-50lb",IF(R19&lt;=70,"超大50-70lb",IF(R19&lt;=150,"超大70-150lb","超大150lb+")))))))</f>
        <v/>
      </c>
      <c r="T19" s="279">
        <f>IF(OR(O19="",P19="",Q19=""),"",MAX(O19,P19,Q19)/FBA规则!$B$5+2*((MEDIAN(O19,P19,Q19)+MIN(O19,P19,Q19))/FBA规则!$B$5))</f>
        <v/>
      </c>
      <c r="U19" s="267">
        <f>参数!$B$15</f>
        <v/>
      </c>
      <c r="V19" s="268">
        <f>IF(OR(C19="",U19=""),"",(IF(OR(VLOOKUP($C19,箱规!$A$2:$S$23,4,FALSE)="",VLOOKUP($C19,箱规!$A$2:$S$23,4,FALSE)=0),VLOOKUP($C19,箱规!$A$2:$S$23,2,FALSE)*VLOOKUP($C19,箱规!$A$2:$S$23,3,FALSE)/10000,VLOOKUP($C19,箱规!$A$2:$S$23,4,FALSE)))*U19)</f>
        <v/>
      </c>
      <c r="W19" s="269" t="n"/>
      <c r="X19" s="270">
        <f>IF(AND(V19&lt;&gt;"",M19&lt;&gt;""),V19/M19,IF(AND(W19&lt;&gt;"",M19&lt;&gt;""),W19*1.13/M19,""))</f>
        <v/>
      </c>
      <c r="Y19" s="271">
        <f>IF(OR(X19="",G19=""),"",X19/G19)</f>
        <v/>
      </c>
      <c r="Z19" s="272" t="n"/>
      <c r="AA19" s="273">
        <f>IF(OR(D19="",D19=0),"",IF(BG19="陆运",IF(BL19="",0,BL19)/D19,IF(BG19="海运",IF(BK19="",0,BK19)/D19,IF(BG19="海运+陆运",(IF(BK19="",0,BK19)+IF(BL19="",0,BL19))/D19,IF(BK19="",0,BK19)/D19))))</f>
        <v/>
      </c>
      <c r="AB19" s="274">
        <f>IF(OR(S19="",R19="",参数!$B$23=""),"",IF(S19="小标准",IFERROR(INDEX(FBA规则!$B$58:$C$65,MATCH(N19*FBA规则!$B$6*16,FBA规则!$A$58:$A$65,1),IF(参数!$B$23="旺季",2,1)),INDEX(FBA规则!$B$65:$C$65,1,IF(参数!$B$23="旺季",2,1))),IF(S19="大标准",IF(R19&lt;=3,IFERROR(INDEX(FBA规则!$B$35:$C$46,MATCH(R19,FBA规则!$A$35:$A$46,1),IF(参数!$B$23="旺季",2,1)),INDEX(FBA规则!$B$46:$C$46,1,IF(参数!$B$23="旺季",2,1))),INDEX(FBA规则!$B$47:$C$47,1,IF(参数!$B$23="旺季",2,1))+FBA规则!$D$47*CEILING((R19-3)*4,1)),IF(S19="大件",INDEX(FBA规则!$B$50:$C$50,1,IF(参数!$B$23="旺季",2,1))+FBA规则!$D$50*MAX(0,CEILING(R19,1)-1),IF(S19="超大0-50lb",INDEX(FBA规则!$B$51:$C$51,1,IF(参数!$B$23="旺季",2,1))+FBA规则!$D$51*MAX(0,CEILING(R19,1)-1),IF(S19="超大50-70lb",INDEX(FBA规则!$B$52:$C$52,1,IF(参数!$B$23="旺季",2,1))+FBA规则!$D$52*MAX(0,R19-FBA规则!$F$52),IF(S19="超大70-150lb",INDEX(FBA规则!$B$53:$C$53,1,IF(参数!$B$23="旺季",2,1))+FBA规则!$D$53*MAX(0,R19-FBA规则!$F$53),INDEX(FBA规则!$B$54:$C$54,1,IF(参数!$B$23="旺季",2,1))+FBA规则!$D$54*MAX(0,R19-FBA规则!$F$54))))))))</f>
        <v/>
      </c>
      <c r="AC19" s="274">
        <f>IF(OR(G19="",I19=""),"",G19*I19)</f>
        <v/>
      </c>
      <c r="AD19" s="274">
        <f>IF(OR(G19="",J19=""),"",G19*J19)</f>
        <v/>
      </c>
      <c r="AE19" s="274">
        <f>IF(OR(G19="",K19=""),"",G19*K19)</f>
        <v/>
      </c>
      <c r="AF19" s="274">
        <f>IF(OR(G19="",L19=""),"",G19*L19)</f>
        <v/>
      </c>
      <c r="AG19" s="271" t="n">
        <v>0.02</v>
      </c>
      <c r="AH19" s="274">
        <f>IF(OR(G19="",AG19=""),"",G19*AG19)</f>
        <v/>
      </c>
      <c r="AI19" s="272" t="n"/>
      <c r="AJ19" s="274">
        <f>IF(X19="","",X19+IF(OR(AA19="",M19=""),0,AA19/M19)+SUM(AB19:AF19)+IF(AH19="",0,AH19)+IF(AI19="",0,AI19))</f>
        <v/>
      </c>
      <c r="AK19" s="274">
        <f>IF(X19="","",0.13*X19/1.13)</f>
        <v/>
      </c>
      <c r="AL19" s="274">
        <f>IF(OR(G19="",AJ19=""),"",G19+AK19-AJ19)</f>
        <v/>
      </c>
      <c r="AM19" s="271">
        <f>IF(OR(AL19="",G19=""),"",AL19/G19)</f>
        <v/>
      </c>
      <c r="AN19" s="224">
        <f>IF(OR(X19="",H19=""),"",X19/H19)</f>
        <v/>
      </c>
      <c r="AO19" s="225" t="n"/>
      <c r="AP19" s="275">
        <f>AA19</f>
        <v/>
      </c>
      <c r="AQ19" s="223">
        <f>IF(OR(S19="",R19="",参数!$B$23=""),"",IF(S19="小标准",IFERROR(INDEX(FBA规则!$B$58:$C$65,MATCH(N19*FBA规则!$B$6*16,FBA规则!$A$58:$A$65,1),IF(参数!$B$23="旺季",2,1)),INDEX(FBA规则!$B$65:$C$65,1,IF(参数!$B$23="旺季",2,1))),IF(S19="大标准",IF(R19&lt;=3,IFERROR(INDEX(FBA规则!$B$35:$C$46,MATCH(R19,FBA规则!$A$35:$A$46,1),IF(参数!$B$23="旺季",2,1)),INDEX(FBA规则!$B$46:$C$46,1,IF(参数!$B$23="旺季",2,1))),INDEX(FBA规则!$B$47:$C$47,1,IF(参数!$B$23="旺季",2,1))+FBA规则!$D$47*CEILING((R19-3)*4,1)),IF(S19="大件",INDEX(FBA规则!$B$50:$C$50,1,IF(参数!$B$23="旺季",2,1))+FBA规则!$D$50*MAX(0,CEILING(R19,1)-1),IF(S19="超大0-50lb",INDEX(FBA规则!$B$51:$C$51,1,IF(参数!$B$23="旺季",2,1))+FBA规则!$D$51*MAX(0,CEILING(R19,1)-1),IF(S19="超大50-70lb",INDEX(FBA规则!$B$52:$C$52,1,IF(参数!$B$23="旺季",2,1))+FBA规则!$D$52*MAX(0,R19-FBA规则!$F$52),IF(S19="超大70-150lb",INDEX(FBA规则!$B$53:$C$53,1,IF(参数!$B$23="旺季",2,1))+FBA规则!$D$53*MAX(0,R19-FBA规则!$F$53),INDEX(FBA规则!$B$54:$C$54,1,IF(参数!$B$23="旺季",2,1))+FBA规则!$D$54*MAX(0,R19-FBA规则!$F$54))))))))</f>
        <v/>
      </c>
      <c r="AR19" s="223">
        <f>IF(OR(H19="",I19=""),"",H19*I19)</f>
        <v/>
      </c>
      <c r="AS19" s="223">
        <f>IF(OR(H19="",J19=""),"",H19*J19)</f>
        <v/>
      </c>
      <c r="AT19" s="223">
        <f>IF(OR(H19="",K19=""),"",H19*K19)</f>
        <v/>
      </c>
      <c r="AU19" s="223">
        <f>IF(OR(H19="",L19=""),"",H19*L19)</f>
        <v/>
      </c>
      <c r="AV19" s="224" t="n">
        <v>0.02</v>
      </c>
      <c r="AW19" s="223">
        <f>IF(OR(H19="",AV19=""),"",H19*AV19)</f>
        <v/>
      </c>
      <c r="AX19" s="225" t="n"/>
      <c r="AY19" s="223">
        <f>IF(X19="","",X19+IF(OR(AP19="",M19=""),0,AP19/M19)+SUM(AQ19:AU19)+IF(AW19="",0,AW19)+IF(AX19="",0,AX19))</f>
        <v/>
      </c>
      <c r="AZ19" s="223">
        <f>IF(X19="","",0.13*X19/1.13)</f>
        <v/>
      </c>
      <c r="BA19" s="223">
        <f>IF(OR(H19="",AY19=""),"",H19+AZ19-AY19)</f>
        <v/>
      </c>
      <c r="BB19" s="224">
        <f>IF(OR(BA19="",H19=""),"",BA19/H19)</f>
        <v/>
      </c>
      <c r="BC19" s="223">
        <f>IF(OR(H19="",AY19=""),"",H19-AY19)</f>
        <v/>
      </c>
      <c r="BD19" s="224">
        <f>IF(OR(BC19="",H19=""),"",BC19/H19)</f>
        <v/>
      </c>
      <c r="BE19" s="205" t="inlineStr">
        <is>
          <t>义乌</t>
        </is>
      </c>
      <c r="BF19" s="231" t="inlineStr">
        <is>
          <t>ABE8</t>
        </is>
      </c>
      <c r="BG19" s="205" t="inlineStr">
        <is>
          <t>海运</t>
        </is>
      </c>
      <c r="BH19" s="226" t="inlineStr">
        <is>
          <t>（最低价）</t>
        </is>
      </c>
      <c r="BI19" s="227">
        <f>IF(OR(BE19="",BF19=""),"",IF(AND(BH19&lt;&gt;"",BH19&lt;&gt;"（最低价）"),IFERROR(IF(SUMIFS(海运报价!$F$2:$F$2000,海运报价!$C$2:$C$2000,BH19,海运报价!$D$2:$D$2000,BE19,海运报价!$E$2:$E$2000,BF19)=0,"",SUMIFS(海运报价!$F$2:$F$2000,海运报价!$C$2:$C$2000,BH19,海运报价!$D$2:$D$2000,BE19,海运报价!$E$2:$E$2000,BF19)),""),IFERROR(IF(SUMIFS(海运下拉!$H$2:$H$311,海运下拉!$F$2:$F$311,BE19,海运下拉!$G$2:$G$311,BF19)=0,"",SUMIFS(海运下拉!$H$2:$H$311,海运下拉!$F$2:$F$311,BE19,海运下拉!$G$2:$G$311,BF19)),"")))</f>
        <v/>
      </c>
      <c r="BJ19" s="227">
        <f>IF(C19="","",VLOOKUP($C19,箱规!$A$2:$S$23,18,FALSE))</f>
        <v/>
      </c>
      <c r="BK19" s="228">
        <f>IF(OR(BI19="",BJ19=""),"",BJ19*(BI19+IF(AND(BH19&lt;&gt;"",BH19&lt;&gt;"（最低价）"),IFERROR(AVERAGEIFS(海运报价!$H$2:$H$2000,海运报价!$C$2:$C$2000,BH19,海运报价!$D$2:$D$2000,BE19,海运报价!$E$2:$E$2000,BF19),0),IFERROR(SUMIFS(海运下拉!$J$2:$J$311,海运下拉!$F$2:$F$311,BE19,海运下拉!$G$2:$G$311,BF19),0))))</f>
        <v/>
      </c>
      <c r="BL19" s="247" t="n"/>
      <c r="BM19" s="229">
        <f>IF(OR(BE19="",BF19=""),"请选起运地+FBA仓",IF(AND(AND(BH19&lt;&gt;"",BH19&lt;&gt;"（最低价）"),BI19=""),"⚠该渠道不服务此仓：请重选渠道，或选「（最低价）」",IF(BI19="","无报价：请换起运地/仓库",IF(AND(BH19&lt;&gt;"",BH19&lt;&gt;"（最低价）"),"按你选的渠道「"&amp;BH19&amp;"」计价","按最低价「"&amp;IFERROR(SUMIFS(海运下拉!$I$2:$I$311,海运下拉!$F$2:$F$311,BE19,海运下拉!$G$2:$G$311,BF19),"")&amp;"」（渠道默认最低价）"))))</f>
        <v/>
      </c>
      <c r="BO19" s="1">
        <f>IF(OR($BE19="",$BF19=""),"",IFERROR(INDEX(海运报价!$C$2:$C$2000,AGGREGATE(15,6,(ROW(海运报价!$C$2:$C$2000)-ROW(海运报价!$C$2)+1)/((海运报价!$D$2:$D$2000=$BE19)*(海运报价!$E$2:$E$2000=$BF19)),1)),""))</f>
        <v/>
      </c>
      <c r="BP19" s="1">
        <f>IF(OR($BE19="",$BF19=""),"",IFERROR(INDEX(海运报价!$C$2:$C$2000,AGGREGATE(15,6,(ROW(海运报价!$C$2:$C$2000)-ROW(海运报价!$C$2)+1)/((海运报价!$D$2:$D$2000=$BE19)*(海运报价!$E$2:$E$2000=$BF19)),2)),""))</f>
        <v/>
      </c>
      <c r="BQ19" s="1">
        <f>IF(OR($BE19="",$BF19=""),"",IFERROR(INDEX(海运报价!$C$2:$C$2000,AGGREGATE(15,6,(ROW(海运报价!$C$2:$C$2000)-ROW(海运报价!$C$2)+1)/((海运报价!$D$2:$D$2000=$BE19)*(海运报价!$E$2:$E$2000=$BF19)),3)),""))</f>
        <v/>
      </c>
      <c r="BR19" s="1">
        <f>IF(OR($BE19="",$BF19=""),"",IFERROR(INDEX(海运报价!$C$2:$C$2000,AGGREGATE(15,6,(ROW(海运报价!$C$2:$C$2000)-ROW(海运报价!$C$2)+1)/((海运报价!$D$2:$D$2000=$BE19)*(海运报价!$E$2:$E$2000=$BF19)),4)),""))</f>
        <v/>
      </c>
      <c r="BS19" s="1">
        <f>IF(OR($BE19="",$BF19=""),"",IFERROR(INDEX(海运报价!$C$2:$C$2000,AGGREGATE(15,6,(ROW(海运报价!$C$2:$C$2000)-ROW(海运报价!$C$2)+1)/((海运报价!$D$2:$D$2000=$BE19)*(海运报价!$E$2:$E$2000=$BF19)),5)),""))</f>
        <v/>
      </c>
      <c r="BT19" s="1">
        <f>IF(OR($BE19="",$BF19=""),"",IFERROR(INDEX(海运报价!$C$2:$C$2000,AGGREGATE(15,6,(ROW(海运报价!$C$2:$C$2000)-ROW(海运报价!$C$2)+1)/((海运报价!$D$2:$D$2000=$BE19)*(海运报价!$E$2:$E$2000=$BF19)),6)),""))</f>
        <v/>
      </c>
      <c r="BU19" s="1">
        <f>IF(OR($BE19="",$BF19=""),"",IFERROR(INDEX(海运报价!$C$2:$C$2000,AGGREGATE(15,6,(ROW(海运报价!$C$2:$C$2000)-ROW(海运报价!$C$2)+1)/((海运报价!$D$2:$D$2000=$BE19)*(海运报价!$E$2:$E$2000=$BF19)),7)),""))</f>
        <v/>
      </c>
      <c r="BV19" s="1">
        <f>IF(OR($BE19="",$BF19=""),"",IFERROR(INDEX(海运报价!$C$2:$C$2000,AGGREGATE(15,6,(ROW(海运报价!$C$2:$C$2000)-ROW(海运报价!$C$2)+1)/((海运报价!$D$2:$D$2000=$BE19)*(海运报价!$E$2:$E$2000=$BF19)),8)),""))</f>
        <v/>
      </c>
      <c r="BW19" s="1">
        <f>IF(OR($BE19="",$BF19=""),"",IFERROR(INDEX(海运报价!$C$2:$C$2000,AGGREGATE(15,6,(ROW(海运报价!$C$2:$C$2000)-ROW(海运报价!$C$2)+1)/((海运报价!$D$2:$D$2000=$BE19)*(海运报价!$E$2:$E$2000=$BF19)),9)),""))</f>
        <v/>
      </c>
      <c r="BX19" s="1">
        <f>IF(OR($BE19="",$BF19=""),"",IFERROR(INDEX(海运报价!$C$2:$C$2000,AGGREGATE(15,6,(ROW(海运报价!$C$2:$C$2000)-ROW(海运报价!$C$2)+1)/((海运报价!$D$2:$D$2000=$BE19)*(海运报价!$E$2:$E$2000=$BF19)),10)),""))</f>
        <v/>
      </c>
      <c r="BY19" s="1">
        <f>IF(OR($BE19="",$BF19=""),"",IFERROR(INDEX(海运报价!$C$2:$C$2000,AGGREGATE(15,6,(ROW(海运报价!$C$2:$C$2000)-ROW(海运报价!$C$2)+1)/((海运报价!$D$2:$D$2000=$BE19)*(海运报价!$E$2:$E$2000=$BF19)),11)),""))</f>
        <v/>
      </c>
      <c r="BZ19" s="1">
        <f>IF(OR($BE19="",$BF19=""),"",IFERROR(INDEX(海运报价!$C$2:$C$2000,AGGREGATE(15,6,(ROW(海运报价!$C$2:$C$2000)-ROW(海运报价!$C$2)+1)/((海运报价!$D$2:$D$2000=$BE19)*(海运报价!$E$2:$E$2000=$BF19)),12)),""))</f>
        <v/>
      </c>
      <c r="CA19" s="1">
        <f>IF(OR($BE19="",$BF19=""),"",IFERROR(INDEX(海运报价!$C$2:$C$2000,AGGREGATE(15,6,(ROW(海运报价!$C$2:$C$2000)-ROW(海运报价!$C$2)+1)/((海运报价!$D$2:$D$2000=$BE19)*(海运报价!$E$2:$E$2000=$BF19)),13)),""))</f>
        <v/>
      </c>
      <c r="CB19" s="1">
        <f>IF(OR($BE19="",$BF19=""),"",IFERROR(INDEX(海运报价!$C$2:$C$2000,AGGREGATE(15,6,(ROW(海运报价!$C$2:$C$2000)-ROW(海运报价!$C$2)+1)/((海运报价!$D$2:$D$2000=$BE19)*(海运报价!$E$2:$E$2000=$BF19)),14)),""))</f>
        <v/>
      </c>
      <c r="CC19" s="1">
        <f>IF(OR($BE19="",$BF19=""),"",IFERROR(INDEX(海运报价!$C$2:$C$2000,AGGREGATE(15,6,(ROW(海运报价!$C$2:$C$2000)-ROW(海运报价!$C$2)+1)/((海运报价!$D$2:$D$2000=$BE19)*(海运报价!$E$2:$E$2000=$BF19)),15)),""))</f>
        <v/>
      </c>
      <c r="CD19" s="119">
        <f>IF(OR(X19="",M19=""),"",X19+IF(OR(AA19="",M19=""),0,AA19/M19)+IF(AB19="",0,AB19)+IF(AI19="",0,AI19)+IF(Z19="",0,Z19))</f>
        <v/>
      </c>
      <c r="CE19" s="142">
        <f>I19+J19+K19+L19+AG19</f>
        <v/>
      </c>
    </row>
    <row r="20">
      <c r="B20" s="231" t="n"/>
      <c r="C20" s="231" t="inlineStr">
        <is>
          <t>10'14'</t>
        </is>
      </c>
      <c r="D20" s="206">
        <f>IF(C20="","",VLOOKUP($C20,箱规!$A$2:$S$23,9,FALSE))</f>
        <v/>
      </c>
      <c r="E20" s="231" t="n"/>
      <c r="F20" s="180" t="n"/>
      <c r="G20" s="170">
        <f>IF(OR(CD20="",CE20="",CE20&gt;=1,X20=""),"",ROUNDUP((CD20-0.13*X20/1.13)/(1-CE20),2))</f>
        <v/>
      </c>
      <c r="H20" s="169">
        <f>IF(OR(CD20="",CE20="",X20=""),"",IF((1-CE20-参数!$B$16)&lt;=0,"费率过高",ROUND((CD20-0.13*X20/1.13)/(1-CE20-参数!$B$16),2)))</f>
        <v/>
      </c>
      <c r="I20" s="264" t="n">
        <v>0.15</v>
      </c>
      <c r="J20" s="264" t="n">
        <v>0.07000000000000001</v>
      </c>
      <c r="K20" s="264" t="n">
        <v>0.15</v>
      </c>
      <c r="L20" s="264" t="n">
        <v>0.01</v>
      </c>
      <c r="M20" s="265">
        <f>参数!$B$2</f>
        <v/>
      </c>
      <c r="N20" s="227">
        <f>IF(C20="","",VLOOKUP($C20,箱规!$A$2:$S$23,14,FALSE))</f>
        <v/>
      </c>
      <c r="O20" s="227">
        <f>IF(C20="","",VLOOKUP($C20,箱规!$A$2:$S$23,5,FALSE))</f>
        <v/>
      </c>
      <c r="P20" s="227">
        <f>IF(C20="","",VLOOKUP($C20,箱规!$A$2:$S$23,6,FALSE))</f>
        <v/>
      </c>
      <c r="Q20" s="227">
        <f>IF(C20="","",VLOOKUP($C20,箱规!$A$2:$S$23,7,FALSE))</f>
        <v/>
      </c>
      <c r="R20" s="279">
        <f>IF(OR(N20="",O20="",P20="",Q20=""),"",MAX(N20*FBA规则!$B$6,(O20/FBA规则!$B$5)*(P20/FBA规则!$B$5)*(Q20/FBA规则!$B$5)/FBA规则!$B$7))</f>
        <v/>
      </c>
      <c r="S20" s="280">
        <f>IF(R20="","",IF(AND(N20*FBA规则!$B$6&lt;=1,MAX(O20,P20,Q20)/FBA规则!$B$5&lt;=15,MEDIAN(O20,P20,Q20)/FBA规则!$B$5&lt;=12,MIN(O20,P20,Q20)/FBA规则!$B$5&lt;=0.75),"小标准",IF(AND(R20&lt;=20,MAX(O20,P20,Q20)/FBA规则!$B$5&lt;=18,MEDIAN(O20,P20,Q20)/FBA规则!$B$5&lt;=14,MIN(O20,P20,Q20)/FBA规则!$B$5&lt;=8),"大标准",IF(AND(R20&lt;=50,MAX(O20,P20,Q20)/FBA规则!$B$5&lt;=59,MEDIAN(O20,P20,Q20)/FBA规则!$B$5&lt;=33,MIN(O20,P20,Q20)/FBA规则!$B$5&lt;=33,T20&lt;=130),"大件",IF(R20&lt;=50,"超大0-50lb",IF(R20&lt;=70,"超大50-70lb",IF(R20&lt;=150,"超大70-150lb","超大150lb+")))))))</f>
        <v/>
      </c>
      <c r="T20" s="279">
        <f>IF(OR(O20="",P20="",Q20=""),"",MAX(O20,P20,Q20)/FBA规则!$B$5+2*((MEDIAN(O20,P20,Q20)+MIN(O20,P20,Q20))/FBA规则!$B$5))</f>
        <v/>
      </c>
      <c r="U20" s="267">
        <f>参数!$B$15</f>
        <v/>
      </c>
      <c r="V20" s="268">
        <f>IF(OR(C20="",U20=""),"",(IF(OR(VLOOKUP($C20,箱规!$A$2:$S$23,4,FALSE)="",VLOOKUP($C20,箱规!$A$2:$S$23,4,FALSE)=0),VLOOKUP($C20,箱规!$A$2:$S$23,2,FALSE)*VLOOKUP($C20,箱规!$A$2:$S$23,3,FALSE)/10000,VLOOKUP($C20,箱规!$A$2:$S$23,4,FALSE)))*U20)</f>
        <v/>
      </c>
      <c r="W20" s="269" t="n"/>
      <c r="X20" s="270">
        <f>IF(AND(V20&lt;&gt;"",M20&lt;&gt;""),V20/M20,IF(AND(W20&lt;&gt;"",M20&lt;&gt;""),W20*1.13/M20,""))</f>
        <v/>
      </c>
      <c r="Y20" s="271">
        <f>IF(OR(X20="",G20=""),"",X20/G20)</f>
        <v/>
      </c>
      <c r="Z20" s="272" t="n"/>
      <c r="AA20" s="273">
        <f>IF(OR(D20="",D20=0),"",IF(BG20="陆运",IF(BL20="",0,BL20)/D20,IF(BG20="海运",IF(BK20="",0,BK20)/D20,IF(BG20="海运+陆运",(IF(BK20="",0,BK20)+IF(BL20="",0,BL20))/D20,IF(BK20="",0,BK20)/D20))))</f>
        <v/>
      </c>
      <c r="AB20" s="274">
        <f>IF(OR(S20="",R20="",参数!$B$23=""),"",IF(S20="小标准",IFERROR(INDEX(FBA规则!$B$58:$C$65,MATCH(N20*FBA规则!$B$6*16,FBA规则!$A$58:$A$65,1),IF(参数!$B$23="旺季",2,1)),INDEX(FBA规则!$B$65:$C$65,1,IF(参数!$B$23="旺季",2,1))),IF(S20="大标准",IF(R20&lt;=3,IFERROR(INDEX(FBA规则!$B$35:$C$46,MATCH(R20,FBA规则!$A$35:$A$46,1),IF(参数!$B$23="旺季",2,1)),INDEX(FBA规则!$B$46:$C$46,1,IF(参数!$B$23="旺季",2,1))),INDEX(FBA规则!$B$47:$C$47,1,IF(参数!$B$23="旺季",2,1))+FBA规则!$D$47*CEILING((R20-3)*4,1)),IF(S20="大件",INDEX(FBA规则!$B$50:$C$50,1,IF(参数!$B$23="旺季",2,1))+FBA规则!$D$50*MAX(0,CEILING(R20,1)-1),IF(S20="超大0-50lb",INDEX(FBA规则!$B$51:$C$51,1,IF(参数!$B$23="旺季",2,1))+FBA规则!$D$51*MAX(0,CEILING(R20,1)-1),IF(S20="超大50-70lb",INDEX(FBA规则!$B$52:$C$52,1,IF(参数!$B$23="旺季",2,1))+FBA规则!$D$52*MAX(0,R20-FBA规则!$F$52),IF(S20="超大70-150lb",INDEX(FBA规则!$B$53:$C$53,1,IF(参数!$B$23="旺季",2,1))+FBA规则!$D$53*MAX(0,R20-FBA规则!$F$53),INDEX(FBA规则!$B$54:$C$54,1,IF(参数!$B$23="旺季",2,1))+FBA规则!$D$54*MAX(0,R20-FBA规则!$F$54))))))))</f>
        <v/>
      </c>
      <c r="AC20" s="274">
        <f>IF(OR(G20="",I20=""),"",G20*I20)</f>
        <v/>
      </c>
      <c r="AD20" s="274">
        <f>IF(OR(G20="",J20=""),"",G20*J20)</f>
        <v/>
      </c>
      <c r="AE20" s="274">
        <f>IF(OR(G20="",K20=""),"",G20*K20)</f>
        <v/>
      </c>
      <c r="AF20" s="274">
        <f>IF(OR(G20="",L20=""),"",G20*L20)</f>
        <v/>
      </c>
      <c r="AG20" s="271" t="n">
        <v>0.02</v>
      </c>
      <c r="AH20" s="274">
        <f>IF(OR(G20="",AG20=""),"",G20*AG20)</f>
        <v/>
      </c>
      <c r="AI20" s="272" t="n"/>
      <c r="AJ20" s="274">
        <f>IF(X20="","",X20+IF(OR(AA20="",M20=""),0,AA20/M20)+SUM(AB20:AF20)+IF(AH20="",0,AH20)+IF(AI20="",0,AI20))</f>
        <v/>
      </c>
      <c r="AK20" s="274">
        <f>IF(X20="","",0.13*X20/1.13)</f>
        <v/>
      </c>
      <c r="AL20" s="274">
        <f>IF(OR(G20="",AJ20=""),"",G20+AK20-AJ20)</f>
        <v/>
      </c>
      <c r="AM20" s="271">
        <f>IF(OR(AL20="",G20=""),"",AL20/G20)</f>
        <v/>
      </c>
      <c r="AN20" s="224">
        <f>IF(OR(X20="",H20=""),"",X20/H20)</f>
        <v/>
      </c>
      <c r="AO20" s="225" t="n"/>
      <c r="AP20" s="275">
        <f>AA20</f>
        <v/>
      </c>
      <c r="AQ20" s="223">
        <f>IF(OR(S20="",R20="",参数!$B$23=""),"",IF(S20="小标准",IFERROR(INDEX(FBA规则!$B$58:$C$65,MATCH(N20*FBA规则!$B$6*16,FBA规则!$A$58:$A$65,1),IF(参数!$B$23="旺季",2,1)),INDEX(FBA规则!$B$65:$C$65,1,IF(参数!$B$23="旺季",2,1))),IF(S20="大标准",IF(R20&lt;=3,IFERROR(INDEX(FBA规则!$B$35:$C$46,MATCH(R20,FBA规则!$A$35:$A$46,1),IF(参数!$B$23="旺季",2,1)),INDEX(FBA规则!$B$46:$C$46,1,IF(参数!$B$23="旺季",2,1))),INDEX(FBA规则!$B$47:$C$47,1,IF(参数!$B$23="旺季",2,1))+FBA规则!$D$47*CEILING((R20-3)*4,1)),IF(S20="大件",INDEX(FBA规则!$B$50:$C$50,1,IF(参数!$B$23="旺季",2,1))+FBA规则!$D$50*MAX(0,CEILING(R20,1)-1),IF(S20="超大0-50lb",INDEX(FBA规则!$B$51:$C$51,1,IF(参数!$B$23="旺季",2,1))+FBA规则!$D$51*MAX(0,CEILING(R20,1)-1),IF(S20="超大50-70lb",INDEX(FBA规则!$B$52:$C$52,1,IF(参数!$B$23="旺季",2,1))+FBA规则!$D$52*MAX(0,R20-FBA规则!$F$52),IF(S20="超大70-150lb",INDEX(FBA规则!$B$53:$C$53,1,IF(参数!$B$23="旺季",2,1))+FBA规则!$D$53*MAX(0,R20-FBA规则!$F$53),INDEX(FBA规则!$B$54:$C$54,1,IF(参数!$B$23="旺季",2,1))+FBA规则!$D$54*MAX(0,R20-FBA规则!$F$54))))))))</f>
        <v/>
      </c>
      <c r="AR20" s="223">
        <f>IF(OR(H20="",I20=""),"",H20*I20)</f>
        <v/>
      </c>
      <c r="AS20" s="223">
        <f>IF(OR(H20="",J20=""),"",H20*J20)</f>
        <v/>
      </c>
      <c r="AT20" s="223">
        <f>IF(OR(H20="",K20=""),"",H20*K20)</f>
        <v/>
      </c>
      <c r="AU20" s="223">
        <f>IF(OR(H20="",L20=""),"",H20*L20)</f>
        <v/>
      </c>
      <c r="AV20" s="224" t="n">
        <v>0.02</v>
      </c>
      <c r="AW20" s="223">
        <f>IF(OR(H20="",AV20=""),"",H20*AV20)</f>
        <v/>
      </c>
      <c r="AX20" s="225" t="n"/>
      <c r="AY20" s="223">
        <f>IF(X20="","",X20+IF(OR(AP20="",M20=""),0,AP20/M20)+SUM(AQ20:AU20)+IF(AW20="",0,AW20)+IF(AX20="",0,AX20))</f>
        <v/>
      </c>
      <c r="AZ20" s="223">
        <f>IF(X20="","",0.13*X20/1.13)</f>
        <v/>
      </c>
      <c r="BA20" s="223">
        <f>IF(OR(H20="",AY20=""),"",H20+AZ20-AY20)</f>
        <v/>
      </c>
      <c r="BB20" s="224">
        <f>IF(OR(BA20="",H20=""),"",BA20/H20)</f>
        <v/>
      </c>
      <c r="BC20" s="223">
        <f>IF(OR(H20="",AY20=""),"",H20-AY20)</f>
        <v/>
      </c>
      <c r="BD20" s="224">
        <f>IF(OR(BC20="",H20=""),"",BC20/H20)</f>
        <v/>
      </c>
      <c r="BE20" s="205" t="inlineStr">
        <is>
          <t>义乌</t>
        </is>
      </c>
      <c r="BF20" s="231" t="inlineStr">
        <is>
          <t>ABE8</t>
        </is>
      </c>
      <c r="BG20" s="205" t="inlineStr">
        <is>
          <t>海运</t>
        </is>
      </c>
      <c r="BH20" s="226" t="inlineStr">
        <is>
          <t>（最低价）</t>
        </is>
      </c>
      <c r="BI20" s="227">
        <f>IF(OR(BE20="",BF20=""),"",IF(AND(BH20&lt;&gt;"",BH20&lt;&gt;"（最低价）"),IFERROR(IF(SUMIFS(海运报价!$F$2:$F$2000,海运报价!$C$2:$C$2000,BH20,海运报价!$D$2:$D$2000,BE20,海运报价!$E$2:$E$2000,BF20)=0,"",SUMIFS(海运报价!$F$2:$F$2000,海运报价!$C$2:$C$2000,BH20,海运报价!$D$2:$D$2000,BE20,海运报价!$E$2:$E$2000,BF20)),""),IFERROR(IF(SUMIFS(海运下拉!$H$2:$H$311,海运下拉!$F$2:$F$311,BE20,海运下拉!$G$2:$G$311,BF20)=0,"",SUMIFS(海运下拉!$H$2:$H$311,海运下拉!$F$2:$F$311,BE20,海运下拉!$G$2:$G$311,BF20)),"")))</f>
        <v/>
      </c>
      <c r="BJ20" s="227">
        <f>IF(C20="","",VLOOKUP($C20,箱规!$A$2:$S$23,18,FALSE))</f>
        <v/>
      </c>
      <c r="BK20" s="228">
        <f>IF(OR(BI20="",BJ20=""),"",BJ20*(BI20+IF(AND(BH20&lt;&gt;"",BH20&lt;&gt;"（最低价）"),IFERROR(AVERAGEIFS(海运报价!$H$2:$H$2000,海运报价!$C$2:$C$2000,BH20,海运报价!$D$2:$D$2000,BE20,海运报价!$E$2:$E$2000,BF20),0),IFERROR(SUMIFS(海运下拉!$J$2:$J$311,海运下拉!$F$2:$F$311,BE20,海运下拉!$G$2:$G$311,BF20),0))))</f>
        <v/>
      </c>
      <c r="BL20" s="247" t="n"/>
      <c r="BM20" s="229">
        <f>IF(OR(BE20="",BF20=""),"请选起运地+FBA仓",IF(AND(AND(BH20&lt;&gt;"",BH20&lt;&gt;"（最低价）"),BI20=""),"⚠该渠道不服务此仓：请重选渠道，或选「（最低价）」",IF(BI20="","无报价：请换起运地/仓库",IF(AND(BH20&lt;&gt;"",BH20&lt;&gt;"（最低价）"),"按你选的渠道「"&amp;BH20&amp;"」计价","按最低价「"&amp;IFERROR(SUMIFS(海运下拉!$I$2:$I$311,海运下拉!$F$2:$F$311,BE20,海运下拉!$G$2:$G$311,BF20),"")&amp;"」（渠道默认最低价）"))))</f>
        <v/>
      </c>
      <c r="BO20" s="1">
        <f>IF(OR($BE20="",$BF20=""),"",IFERROR(INDEX(海运报价!$C$2:$C$2000,AGGREGATE(15,6,(ROW(海运报价!$C$2:$C$2000)-ROW(海运报价!$C$2)+1)/((海运报价!$D$2:$D$2000=$BE20)*(海运报价!$E$2:$E$2000=$BF20)),1)),""))</f>
        <v/>
      </c>
      <c r="BP20" s="1">
        <f>IF(OR($BE20="",$BF20=""),"",IFERROR(INDEX(海运报价!$C$2:$C$2000,AGGREGATE(15,6,(ROW(海运报价!$C$2:$C$2000)-ROW(海运报价!$C$2)+1)/((海运报价!$D$2:$D$2000=$BE20)*(海运报价!$E$2:$E$2000=$BF20)),2)),""))</f>
        <v/>
      </c>
      <c r="BQ20" s="1">
        <f>IF(OR($BE20="",$BF20=""),"",IFERROR(INDEX(海运报价!$C$2:$C$2000,AGGREGATE(15,6,(ROW(海运报价!$C$2:$C$2000)-ROW(海运报价!$C$2)+1)/((海运报价!$D$2:$D$2000=$BE20)*(海运报价!$E$2:$E$2000=$BF20)),3)),""))</f>
        <v/>
      </c>
      <c r="BR20" s="1">
        <f>IF(OR($BE20="",$BF20=""),"",IFERROR(INDEX(海运报价!$C$2:$C$2000,AGGREGATE(15,6,(ROW(海运报价!$C$2:$C$2000)-ROW(海运报价!$C$2)+1)/((海运报价!$D$2:$D$2000=$BE20)*(海运报价!$E$2:$E$2000=$BF20)),4)),""))</f>
        <v/>
      </c>
      <c r="BS20" s="1">
        <f>IF(OR($BE20="",$BF20=""),"",IFERROR(INDEX(海运报价!$C$2:$C$2000,AGGREGATE(15,6,(ROW(海运报价!$C$2:$C$2000)-ROW(海运报价!$C$2)+1)/((海运报价!$D$2:$D$2000=$BE20)*(海运报价!$E$2:$E$2000=$BF20)),5)),""))</f>
        <v/>
      </c>
      <c r="BT20" s="1">
        <f>IF(OR($BE20="",$BF20=""),"",IFERROR(INDEX(海运报价!$C$2:$C$2000,AGGREGATE(15,6,(ROW(海运报价!$C$2:$C$2000)-ROW(海运报价!$C$2)+1)/((海运报价!$D$2:$D$2000=$BE20)*(海运报价!$E$2:$E$2000=$BF20)),6)),""))</f>
        <v/>
      </c>
      <c r="BU20" s="1">
        <f>IF(OR($BE20="",$BF20=""),"",IFERROR(INDEX(海运报价!$C$2:$C$2000,AGGREGATE(15,6,(ROW(海运报价!$C$2:$C$2000)-ROW(海运报价!$C$2)+1)/((海运报价!$D$2:$D$2000=$BE20)*(海运报价!$E$2:$E$2000=$BF20)),7)),""))</f>
        <v/>
      </c>
      <c r="BV20" s="1">
        <f>IF(OR($BE20="",$BF20=""),"",IFERROR(INDEX(海运报价!$C$2:$C$2000,AGGREGATE(15,6,(ROW(海运报价!$C$2:$C$2000)-ROW(海运报价!$C$2)+1)/((海运报价!$D$2:$D$2000=$BE20)*(海运报价!$E$2:$E$2000=$BF20)),8)),""))</f>
        <v/>
      </c>
      <c r="BW20" s="1">
        <f>IF(OR($BE20="",$BF20=""),"",IFERROR(INDEX(海运报价!$C$2:$C$2000,AGGREGATE(15,6,(ROW(海运报价!$C$2:$C$2000)-ROW(海运报价!$C$2)+1)/((海运报价!$D$2:$D$2000=$BE20)*(海运报价!$E$2:$E$2000=$BF20)),9)),""))</f>
        <v/>
      </c>
      <c r="BX20" s="1">
        <f>IF(OR($BE20="",$BF20=""),"",IFERROR(INDEX(海运报价!$C$2:$C$2000,AGGREGATE(15,6,(ROW(海运报价!$C$2:$C$2000)-ROW(海运报价!$C$2)+1)/((海运报价!$D$2:$D$2000=$BE20)*(海运报价!$E$2:$E$2000=$BF20)),10)),""))</f>
        <v/>
      </c>
      <c r="BY20" s="1">
        <f>IF(OR($BE20="",$BF20=""),"",IFERROR(INDEX(海运报价!$C$2:$C$2000,AGGREGATE(15,6,(ROW(海运报价!$C$2:$C$2000)-ROW(海运报价!$C$2)+1)/((海运报价!$D$2:$D$2000=$BE20)*(海运报价!$E$2:$E$2000=$BF20)),11)),""))</f>
        <v/>
      </c>
      <c r="BZ20" s="1">
        <f>IF(OR($BE20="",$BF20=""),"",IFERROR(INDEX(海运报价!$C$2:$C$2000,AGGREGATE(15,6,(ROW(海运报价!$C$2:$C$2000)-ROW(海运报价!$C$2)+1)/((海运报价!$D$2:$D$2000=$BE20)*(海运报价!$E$2:$E$2000=$BF20)),12)),""))</f>
        <v/>
      </c>
      <c r="CA20" s="1">
        <f>IF(OR($BE20="",$BF20=""),"",IFERROR(INDEX(海运报价!$C$2:$C$2000,AGGREGATE(15,6,(ROW(海运报价!$C$2:$C$2000)-ROW(海运报价!$C$2)+1)/((海运报价!$D$2:$D$2000=$BE20)*(海运报价!$E$2:$E$2000=$BF20)),13)),""))</f>
        <v/>
      </c>
      <c r="CB20" s="1">
        <f>IF(OR($BE20="",$BF20=""),"",IFERROR(INDEX(海运报价!$C$2:$C$2000,AGGREGATE(15,6,(ROW(海运报价!$C$2:$C$2000)-ROW(海运报价!$C$2)+1)/((海运报价!$D$2:$D$2000=$BE20)*(海运报价!$E$2:$E$2000=$BF20)),14)),""))</f>
        <v/>
      </c>
      <c r="CC20" s="1">
        <f>IF(OR($BE20="",$BF20=""),"",IFERROR(INDEX(海运报价!$C$2:$C$2000,AGGREGATE(15,6,(ROW(海运报价!$C$2:$C$2000)-ROW(海运报价!$C$2)+1)/((海运报价!$D$2:$D$2000=$BE20)*(海运报价!$E$2:$E$2000=$BF20)),15)),""))</f>
        <v/>
      </c>
      <c r="CD20" s="119">
        <f>IF(OR(X20="",M20=""),"",X20+IF(OR(AA20="",M20=""),0,AA20/M20)+IF(AB20="",0,AB20)+IF(AI20="",0,AI20)+IF(Z20="",0,Z20))</f>
        <v/>
      </c>
      <c r="CE20" s="142">
        <f>I20+J20+K20+L20+AG20</f>
        <v/>
      </c>
    </row>
    <row r="21">
      <c r="C21" s="1" t="inlineStr">
        <is>
          <t>8'8'</t>
        </is>
      </c>
      <c r="D21" s="144">
        <f>IF(C21="","",VLOOKUP($C21,箱规!$A$2:$S$23,9,FALSE))</f>
        <v/>
      </c>
      <c r="F21" s="119" t="n"/>
      <c r="G21" s="119">
        <f>IF(OR(CD21="",CE21="",CE21&gt;=1,X21=""),"",ROUNDUP((CD21-0.13*X21/1.13)/(1-CE21),2))</f>
        <v/>
      </c>
      <c r="H21" s="119">
        <f>IF(OR(CD21="",CE21="",X21=""),"",IF((1-CE21-参数!$B$16)&lt;=0,"费率过高",ROUND((CD21-0.13*X21/1.13)/(1-CE21-参数!$B$16),2)))</f>
        <v/>
      </c>
      <c r="I21" s="142" t="n">
        <v>0.15</v>
      </c>
      <c r="J21" s="142" t="n">
        <v>0.07000000000000001</v>
      </c>
      <c r="K21" s="142" t="n">
        <v>0.15</v>
      </c>
      <c r="L21" s="142" t="n">
        <v>0.01</v>
      </c>
      <c r="M21" s="114">
        <f>参数!$B$2</f>
        <v/>
      </c>
      <c r="N21" s="114">
        <f>IF(C21="","",VLOOKUP($C21,箱规!$A$2:$S$23,14,FALSE))</f>
        <v/>
      </c>
      <c r="O21" s="145">
        <f>IF(C21="","",VLOOKUP($C21,箱规!$A$2:$S$23,5,FALSE))</f>
        <v/>
      </c>
      <c r="P21" s="145">
        <f>IF(C21="","",VLOOKUP($C21,箱规!$A$2:$S$23,6,FALSE))</f>
        <v/>
      </c>
      <c r="Q21" s="145">
        <f>IF(C21="","",VLOOKUP($C21,箱规!$A$2:$S$23,7,FALSE))</f>
        <v/>
      </c>
      <c r="R21" s="174">
        <f>IF(OR(N21="",O21="",P21="",Q21=""),"",MAX(N21*FBA规则!$B$6,(O21/FBA规则!$B$5)*(P21/FBA规则!$B$5)*(Q21/FBA规则!$B$5)/FBA规则!$B$7))</f>
        <v/>
      </c>
      <c r="S21" s="174">
        <f>IF(R21="","",IF(AND(N21*FBA规则!$B$6&lt;=1,MAX(O21,P21,Q21)/FBA规则!$B$5&lt;=15,MEDIAN(O21,P21,Q21)/FBA规则!$B$5&lt;=12,MIN(O21,P21,Q21)/FBA规则!$B$5&lt;=0.75),"小标准",IF(AND(R21&lt;=20,MAX(O21,P21,Q21)/FBA规则!$B$5&lt;=18,MEDIAN(O21,P21,Q21)/FBA规则!$B$5&lt;=14,MIN(O21,P21,Q21)/FBA规则!$B$5&lt;=8),"大标准",IF(AND(R21&lt;=50,MAX(O21,P21,Q21)/FBA规则!$B$5&lt;=59,MEDIAN(O21,P21,Q21)/FBA规则!$B$5&lt;=33,MIN(O21,P21,Q21)/FBA规则!$B$5&lt;=33,T21&lt;=130),"大件",IF(R21&lt;=50,"超大0-50lb",IF(R21&lt;=70,"超大50-70lb",IF(R21&lt;=150,"超大70-150lb","超大150lb+")))))))</f>
        <v/>
      </c>
      <c r="T21" s="174">
        <f>IF(OR(O21="",P21="",Q21=""),"",MAX(O21,P21,Q21)/FBA规则!$B$5+2*((MEDIAN(O21,P21,Q21)+MIN(O21,P21,Q21))/FBA规则!$B$5))</f>
        <v/>
      </c>
      <c r="U21" s="114">
        <f>参数!$B$15</f>
        <v/>
      </c>
      <c r="V21" s="115">
        <f>IF(OR(C21="",U21=""),"",(IF(OR(VLOOKUP($C21,箱规!$A$2:$S$23,4,FALSE)="",VLOOKUP($C21,箱规!$A$2:$S$23,4,FALSE)=0),VLOOKUP($C21,箱规!$A$2:$S$23,2,FALSE)*VLOOKUP($C21,箱规!$A$2:$S$23,3,FALSE)/10000,VLOOKUP($C21,箱规!$A$2:$S$23,4,FALSE)))*U21)</f>
        <v/>
      </c>
      <c r="W21" s="114" t="n"/>
      <c r="X21" s="119">
        <f>IF(AND(V21&lt;&gt;"",M21&lt;&gt;""),V21/M21,IF(AND(W21&lt;&gt;"",M21&lt;&gt;""),W21*1.13/M21,""))</f>
        <v/>
      </c>
      <c r="Y21" s="142">
        <f>IF(OR(X21="",G21=""),"",X21/G21)</f>
        <v/>
      </c>
      <c r="Z21" s="119" t="n"/>
      <c r="AA21" s="115">
        <f>IF(OR(D21="",D21=0),"",IF(BG21="陆运",IF(BL21="",0,BL21)/D21,IF(BG21="海运",IF(BK21="",0,BK21)/D21,IF(BG21="海运+陆运",(IF(BK21="",0,BK21)+IF(BL21="",0,BL21))/D21,IF(BK21="",0,BK21)/D21))))</f>
        <v/>
      </c>
      <c r="AB21" s="119">
        <f>IF(OR(S21="",R21="",参数!$B$23=""),"",IF(S21="小标准",IFERROR(INDEX(FBA规则!$B$58:$C$65,MATCH(N21*FBA规则!$B$6*16,FBA规则!$A$58:$A$65,1),IF(参数!$B$23="旺季",2,1)),INDEX(FBA规则!$B$65:$C$65,1,IF(参数!$B$23="旺季",2,1))),IF(S21="大标准",IF(R21&lt;=3,IFERROR(INDEX(FBA规则!$B$35:$C$46,MATCH(R21,FBA规则!$A$35:$A$46,1),IF(参数!$B$23="旺季",2,1)),INDEX(FBA规则!$B$46:$C$46,1,IF(参数!$B$23="旺季",2,1))),INDEX(FBA规则!$B$47:$C$47,1,IF(参数!$B$23="旺季",2,1))+FBA规则!$D$47*CEILING((R21-3)*4,1)),IF(S21="大件",INDEX(FBA规则!$B$50:$C$50,1,IF(参数!$B$23="旺季",2,1))+FBA规则!$D$50*MAX(0,CEILING(R21,1)-1),IF(S21="超大0-50lb",INDEX(FBA规则!$B$51:$C$51,1,IF(参数!$B$23="旺季",2,1))+FBA规则!$D$51*MAX(0,CEILING(R21,1)-1),IF(S21="超大50-70lb",INDEX(FBA规则!$B$52:$C$52,1,IF(参数!$B$23="旺季",2,1))+FBA规则!$D$52*MAX(0,R21-FBA规则!$F$52),IF(S21="超大70-150lb",INDEX(FBA规则!$B$53:$C$53,1,IF(参数!$B$23="旺季",2,1))+FBA规则!$D$53*MAX(0,R21-FBA规则!$F$53),INDEX(FBA规则!$B$54:$C$54,1,IF(参数!$B$23="旺季",2,1))+FBA规则!$D$54*MAX(0,R21-FBA规则!$F$54))))))))</f>
        <v/>
      </c>
      <c r="AC21" s="119">
        <f>IF(OR(G21="",I21=""),"",G21*I21)</f>
        <v/>
      </c>
      <c r="AD21" s="119">
        <f>IF(OR(G21="",J21=""),"",G21*J21)</f>
        <v/>
      </c>
      <c r="AE21" s="119">
        <f>IF(OR(G21="",K21=""),"",G21*K21)</f>
        <v/>
      </c>
      <c r="AF21" s="119">
        <f>IF(OR(G21="",L21=""),"",G21*L21)</f>
        <v/>
      </c>
      <c r="AG21" s="142" t="n">
        <v>0.02</v>
      </c>
      <c r="AH21" s="119">
        <f>IF(OR(G21="",AG21=""),"",G21*AG21)</f>
        <v/>
      </c>
      <c r="AI21" s="119" t="n"/>
      <c r="AJ21" s="119">
        <f>IF(X21="","",X21+IF(OR(AA21="",M21=""),0,AA21/M21)+SUM(AB21:AF21)+IF(AH21="",0,AH21)+IF(AI21="",0,AI21))</f>
        <v/>
      </c>
      <c r="AK21" s="119">
        <f>IF(X21="","",0.13*X21/1.13)</f>
        <v/>
      </c>
      <c r="AL21" s="119">
        <f>IF(OR(G21="",AJ21=""),"",G21+AK21-AJ21)</f>
        <v/>
      </c>
      <c r="AM21" s="142">
        <f>IF(OR(AL21="",G21=""),"",AL21/G21)</f>
        <v/>
      </c>
      <c r="AN21" s="142">
        <f>IF(OR(X21="",H21=""),"",X21/H21)</f>
        <v/>
      </c>
      <c r="AO21" s="119" t="n"/>
      <c r="AP21" s="115">
        <f>AA21</f>
        <v/>
      </c>
      <c r="AQ21" s="119">
        <f>IF(OR(S21="",R21="",参数!$B$23=""),"",IF(S21="小标准",IFERROR(INDEX(FBA规则!$B$58:$C$65,MATCH(N21*FBA规则!$B$6*16,FBA规则!$A$58:$A$65,1),IF(参数!$B$23="旺季",2,1)),INDEX(FBA规则!$B$65:$C$65,1,IF(参数!$B$23="旺季",2,1))),IF(S21="大标准",IF(R21&lt;=3,IFERROR(INDEX(FBA规则!$B$35:$C$46,MATCH(R21,FBA规则!$A$35:$A$46,1),IF(参数!$B$23="旺季",2,1)),INDEX(FBA规则!$B$46:$C$46,1,IF(参数!$B$23="旺季",2,1))),INDEX(FBA规则!$B$47:$C$47,1,IF(参数!$B$23="旺季",2,1))+FBA规则!$D$47*CEILING((R21-3)*4,1)),IF(S21="大件",INDEX(FBA规则!$B$50:$C$50,1,IF(参数!$B$23="旺季",2,1))+FBA规则!$D$50*MAX(0,CEILING(R21,1)-1),IF(S21="超大0-50lb",INDEX(FBA规则!$B$51:$C$51,1,IF(参数!$B$23="旺季",2,1))+FBA规则!$D$51*MAX(0,CEILING(R21,1)-1),IF(S21="超大50-70lb",INDEX(FBA规则!$B$52:$C$52,1,IF(参数!$B$23="旺季",2,1))+FBA规则!$D$52*MAX(0,R21-FBA规则!$F$52),IF(S21="超大70-150lb",INDEX(FBA规则!$B$53:$C$53,1,IF(参数!$B$23="旺季",2,1))+FBA规则!$D$53*MAX(0,R21-FBA规则!$F$53),INDEX(FBA规则!$B$54:$C$54,1,IF(参数!$B$23="旺季",2,1))+FBA规则!$D$54*MAX(0,R21-FBA规则!$F$54))))))))</f>
        <v/>
      </c>
      <c r="AR21" s="119">
        <f>IF(OR(H21="",I21=""),"",H21*I21)</f>
        <v/>
      </c>
      <c r="AS21" s="119">
        <f>IF(OR(H21="",J21=""),"",H21*J21)</f>
        <v/>
      </c>
      <c r="AT21" s="119">
        <f>IF(OR(H21="",K21=""),"",H21*K21)</f>
        <v/>
      </c>
      <c r="AU21" s="119">
        <f>IF(OR(H21="",L21=""),"",H21*L21)</f>
        <v/>
      </c>
      <c r="AV21" s="142" t="n">
        <v>0.02</v>
      </c>
      <c r="AW21" s="119">
        <f>IF(OR(H21="",AV21=""),"",H21*AV21)</f>
        <v/>
      </c>
      <c r="AX21" s="119" t="n"/>
      <c r="AY21" s="119">
        <f>IF(X21="","",X21+IF(OR(AP21="",M21=""),0,AP21/M21)+SUM(AQ21:AU21)+IF(AW21="",0,AW21)+IF(AX21="",0,AX21))</f>
        <v/>
      </c>
      <c r="AZ21" s="119">
        <f>IF(X21="","",0.13*X21/1.13)</f>
        <v/>
      </c>
      <c r="BA21" s="119">
        <f>IF(OR(H21="",AY21=""),"",H21+AZ21-AY21)</f>
        <v/>
      </c>
      <c r="BB21" s="142">
        <f>IF(OR(BA21="",H21=""),"",BA21/H21)</f>
        <v/>
      </c>
      <c r="BC21" s="119">
        <f>IF(OR(H21="",AY21=""),"",H21-AY21)</f>
        <v/>
      </c>
      <c r="BD21" s="142">
        <f>IF(OR(BC21="",H21=""),"",BC21/H21)</f>
        <v/>
      </c>
      <c r="BE21" s="1" t="inlineStr">
        <is>
          <t>义乌</t>
        </is>
      </c>
      <c r="BF21" s="1" t="inlineStr">
        <is>
          <t>ABE8</t>
        </is>
      </c>
      <c r="BG21" s="1" t="inlineStr">
        <is>
          <t>海运</t>
        </is>
      </c>
      <c r="BH21" s="1" t="inlineStr">
        <is>
          <t>（最低价）</t>
        </is>
      </c>
      <c r="BI21" s="114">
        <f>IF(OR(BE21="",BF21=""),"",IF(AND(BH21&lt;&gt;"",BH21&lt;&gt;"（最低价）"),IFERROR(IF(SUMIFS(海运报价!$F$2:$F$2000,海运报价!$C$2:$C$2000,BH21,海运报价!$D$2:$D$2000,BE21,海运报价!$E$2:$E$2000,BF21)=0,"",SUMIFS(海运报价!$F$2:$F$2000,海运报价!$C$2:$C$2000,BH21,海运报价!$D$2:$D$2000,BE21,海运报价!$E$2:$E$2000,BF21)),""),IFERROR(IF(SUMIFS(海运下拉!$H$2:$H$311,海运下拉!$F$2:$F$311,BE21,海运下拉!$G$2:$G$311,BF21)=0,"",SUMIFS(海运下拉!$H$2:$H$311,海运下拉!$F$2:$F$311,BE21,海运下拉!$G$2:$G$311,BF21)),"")))</f>
        <v/>
      </c>
      <c r="BJ21" s="114">
        <f>IF(C21="","",VLOOKUP($C21,箱规!$A$2:$S$23,18,FALSE))</f>
        <v/>
      </c>
      <c r="BK21" s="115">
        <f>IF(OR(BI21="",BJ21=""),"",BJ21*(BI21+IF(AND(BH21&lt;&gt;"",BH21&lt;&gt;"（最低价）"),IFERROR(AVERAGEIFS(海运报价!$H$2:$H$2000,海运报价!$C$2:$C$2000,BH21,海运报价!$D$2:$D$2000,BE21,海运报价!$E$2:$E$2000,BF21),0),IFERROR(SUMIFS(海运下拉!$J$2:$J$311,海运下拉!$F$2:$F$311,BE21,海运下拉!$G$2:$G$311,BF21),0))))</f>
        <v/>
      </c>
      <c r="BL21" s="115" t="n"/>
      <c r="BM21" s="1">
        <f>IF(OR(BE21="",BF21=""),"请选起运地+FBA仓",IF(AND(AND(BH21&lt;&gt;"",BH21&lt;&gt;"（最低价）"),BI21=""),"⚠该渠道不服务此仓：请重选渠道，或选「（最低价）」",IF(BI21="","无报价：请换起运地/仓库",IF(AND(BH21&lt;&gt;"",BH21&lt;&gt;"（最低价）"),"按你选的渠道「"&amp;BH21&amp;"」计价","按最低价「"&amp;IFERROR(SUMIFS(海运下拉!$I$2:$I$311,海运下拉!$F$2:$F$311,BE21,海运下拉!$G$2:$G$311,BF21),"")&amp;"」（渠道默认最低价）"))))</f>
        <v/>
      </c>
      <c r="BO21" s="1">
        <f>IF(OR($BE21="",$BF21=""),"",IFERROR(INDEX(海运报价!$C$2:$C$2000,AGGREGATE(15,6,(ROW(海运报价!$C$2:$C$2000)-ROW(海运报价!$C$2)+1)/((海运报价!$D$2:$D$2000=$BE21)*(海运报价!$E$2:$E$2000=$BF21)),1)),""))</f>
        <v/>
      </c>
      <c r="BP21" s="1">
        <f>IF(OR($BE21="",$BF21=""),"",IFERROR(INDEX(海运报价!$C$2:$C$2000,AGGREGATE(15,6,(ROW(海运报价!$C$2:$C$2000)-ROW(海运报价!$C$2)+1)/((海运报价!$D$2:$D$2000=$BE21)*(海运报价!$E$2:$E$2000=$BF21)),2)),""))</f>
        <v/>
      </c>
      <c r="BQ21" s="1">
        <f>IF(OR($BE21="",$BF21=""),"",IFERROR(INDEX(海运报价!$C$2:$C$2000,AGGREGATE(15,6,(ROW(海运报价!$C$2:$C$2000)-ROW(海运报价!$C$2)+1)/((海运报价!$D$2:$D$2000=$BE21)*(海运报价!$E$2:$E$2000=$BF21)),3)),""))</f>
        <v/>
      </c>
      <c r="BR21" s="1">
        <f>IF(OR($BE21="",$BF21=""),"",IFERROR(INDEX(海运报价!$C$2:$C$2000,AGGREGATE(15,6,(ROW(海运报价!$C$2:$C$2000)-ROW(海运报价!$C$2)+1)/((海运报价!$D$2:$D$2000=$BE21)*(海运报价!$E$2:$E$2000=$BF21)),4)),""))</f>
        <v/>
      </c>
      <c r="BS21" s="1">
        <f>IF(OR($BE21="",$BF21=""),"",IFERROR(INDEX(海运报价!$C$2:$C$2000,AGGREGATE(15,6,(ROW(海运报价!$C$2:$C$2000)-ROW(海运报价!$C$2)+1)/((海运报价!$D$2:$D$2000=$BE21)*(海运报价!$E$2:$E$2000=$BF21)),5)),""))</f>
        <v/>
      </c>
      <c r="BT21" s="1">
        <f>IF(OR($BE21="",$BF21=""),"",IFERROR(INDEX(海运报价!$C$2:$C$2000,AGGREGATE(15,6,(ROW(海运报价!$C$2:$C$2000)-ROW(海运报价!$C$2)+1)/((海运报价!$D$2:$D$2000=$BE21)*(海运报价!$E$2:$E$2000=$BF21)),6)),""))</f>
        <v/>
      </c>
      <c r="BU21" s="1">
        <f>IF(OR($BE21="",$BF21=""),"",IFERROR(INDEX(海运报价!$C$2:$C$2000,AGGREGATE(15,6,(ROW(海运报价!$C$2:$C$2000)-ROW(海运报价!$C$2)+1)/((海运报价!$D$2:$D$2000=$BE21)*(海运报价!$E$2:$E$2000=$BF21)),7)),""))</f>
        <v/>
      </c>
      <c r="BV21" s="1">
        <f>IF(OR($BE21="",$BF21=""),"",IFERROR(INDEX(海运报价!$C$2:$C$2000,AGGREGATE(15,6,(ROW(海运报价!$C$2:$C$2000)-ROW(海运报价!$C$2)+1)/((海运报价!$D$2:$D$2000=$BE21)*(海运报价!$E$2:$E$2000=$BF21)),8)),""))</f>
        <v/>
      </c>
      <c r="BW21" s="1">
        <f>IF(OR($BE21="",$BF21=""),"",IFERROR(INDEX(海运报价!$C$2:$C$2000,AGGREGATE(15,6,(ROW(海运报价!$C$2:$C$2000)-ROW(海运报价!$C$2)+1)/((海运报价!$D$2:$D$2000=$BE21)*(海运报价!$E$2:$E$2000=$BF21)),9)),""))</f>
        <v/>
      </c>
      <c r="BX21" s="1">
        <f>IF(OR($BE21="",$BF21=""),"",IFERROR(INDEX(海运报价!$C$2:$C$2000,AGGREGATE(15,6,(ROW(海运报价!$C$2:$C$2000)-ROW(海运报价!$C$2)+1)/((海运报价!$D$2:$D$2000=$BE21)*(海运报价!$E$2:$E$2000=$BF21)),10)),""))</f>
        <v/>
      </c>
      <c r="BY21" s="1">
        <f>IF(OR($BE21="",$BF21=""),"",IFERROR(INDEX(海运报价!$C$2:$C$2000,AGGREGATE(15,6,(ROW(海运报价!$C$2:$C$2000)-ROW(海运报价!$C$2)+1)/((海运报价!$D$2:$D$2000=$BE21)*(海运报价!$E$2:$E$2000=$BF21)),11)),""))</f>
        <v/>
      </c>
      <c r="BZ21" s="1">
        <f>IF(OR($BE21="",$BF21=""),"",IFERROR(INDEX(海运报价!$C$2:$C$2000,AGGREGATE(15,6,(ROW(海运报价!$C$2:$C$2000)-ROW(海运报价!$C$2)+1)/((海运报价!$D$2:$D$2000=$BE21)*(海运报价!$E$2:$E$2000=$BF21)),12)),""))</f>
        <v/>
      </c>
      <c r="CA21" s="1">
        <f>IF(OR($BE21="",$BF21=""),"",IFERROR(INDEX(海运报价!$C$2:$C$2000,AGGREGATE(15,6,(ROW(海运报价!$C$2:$C$2000)-ROW(海运报价!$C$2)+1)/((海运报价!$D$2:$D$2000=$BE21)*(海运报价!$E$2:$E$2000=$BF21)),13)),""))</f>
        <v/>
      </c>
      <c r="CB21" s="1">
        <f>IF(OR($BE21="",$BF21=""),"",IFERROR(INDEX(海运报价!$C$2:$C$2000,AGGREGATE(15,6,(ROW(海运报价!$C$2:$C$2000)-ROW(海运报价!$C$2)+1)/((海运报价!$D$2:$D$2000=$BE21)*(海运报价!$E$2:$E$2000=$BF21)),14)),""))</f>
        <v/>
      </c>
      <c r="CC21" s="1">
        <f>IF(OR($BE21="",$BF21=""),"",IFERROR(INDEX(海运报价!$C$2:$C$2000,AGGREGATE(15,6,(ROW(海运报价!$C$2:$C$2000)-ROW(海运报价!$C$2)+1)/((海运报价!$D$2:$D$2000=$BE21)*(海运报价!$E$2:$E$2000=$BF21)),15)),""))</f>
        <v/>
      </c>
      <c r="CD21" s="1">
        <f>IF(OR(X21="",M21=""),"",X21+IF(OR(AA21="",M21=""),0,AA21/M21)+IF(AB21="",0,AB21)+IF(AI21="",0,AI21)+IF(Z21="",0,Z21))</f>
        <v/>
      </c>
      <c r="CE21" s="1">
        <f>I21+J21+K21+L21+AG21</f>
        <v/>
      </c>
    </row>
    <row r="22">
      <c r="C22" s="1" t="inlineStr">
        <is>
          <t>Φ3.15'</t>
        </is>
      </c>
      <c r="D22" s="144">
        <f>IF(C22="","",VLOOKUP($C22,箱规!$A$2:$S$23,9,FALSE))</f>
        <v/>
      </c>
      <c r="F22" s="119" t="n"/>
      <c r="G22" s="119">
        <f>IF(OR(CD22="",CE22="",CE22&gt;=1,X22=""),"",ROUNDUP((CD22-0.13*X22/1.13)/(1-CE22),2))</f>
        <v/>
      </c>
      <c r="H22" s="119">
        <f>IF(OR(CD22="",CE22="",X22=""),"",IF((1-CE22-参数!$B$16)&lt;=0,"费率过高",ROUND((CD22-0.13*X22/1.13)/(1-CE22-参数!$B$16),2)))</f>
        <v/>
      </c>
      <c r="I22" s="142" t="n">
        <v>0.15</v>
      </c>
      <c r="J22" s="142" t="n">
        <v>0.07000000000000001</v>
      </c>
      <c r="K22" s="142" t="n">
        <v>0.15</v>
      </c>
      <c r="L22" s="142" t="n">
        <v>0.01</v>
      </c>
      <c r="M22" s="114">
        <f>参数!$B$2</f>
        <v/>
      </c>
      <c r="N22" s="114">
        <f>IF(C22="","",VLOOKUP($C22,箱规!$A$2:$S$23,14,FALSE))</f>
        <v/>
      </c>
      <c r="O22" s="145">
        <f>IF(C22="","",VLOOKUP($C22,箱规!$A$2:$S$23,5,FALSE))</f>
        <v/>
      </c>
      <c r="P22" s="145">
        <f>IF(C22="","",VLOOKUP($C22,箱规!$A$2:$S$23,6,FALSE))</f>
        <v/>
      </c>
      <c r="Q22" s="145">
        <f>IF(C22="","",VLOOKUP($C22,箱规!$A$2:$S$23,7,FALSE))</f>
        <v/>
      </c>
      <c r="R22" s="174">
        <f>IF(OR(N22="",O22="",P22="",Q22=""),"",MAX(N22*FBA规则!$B$6,(O22/FBA规则!$B$5)*(P22/FBA规则!$B$5)*(Q22/FBA规则!$B$5)/FBA规则!$B$7))</f>
        <v/>
      </c>
      <c r="S22" s="174">
        <f>IF(R22="","",IF(AND(N22*FBA规则!$B$6&lt;=1,MAX(O22,P22,Q22)/FBA规则!$B$5&lt;=15,MEDIAN(O22,P22,Q22)/FBA规则!$B$5&lt;=12,MIN(O22,P22,Q22)/FBA规则!$B$5&lt;=0.75),"小标准",IF(AND(R22&lt;=20,MAX(O22,P22,Q22)/FBA规则!$B$5&lt;=18,MEDIAN(O22,P22,Q22)/FBA规则!$B$5&lt;=14,MIN(O22,P22,Q22)/FBA规则!$B$5&lt;=8),"大标准",IF(AND(R22&lt;=50,MAX(O22,P22,Q22)/FBA规则!$B$5&lt;=59,MEDIAN(O22,P22,Q22)/FBA规则!$B$5&lt;=33,MIN(O22,P22,Q22)/FBA规则!$B$5&lt;=33,T22&lt;=130),"大件",IF(R22&lt;=50,"超大0-50lb",IF(R22&lt;=70,"超大50-70lb",IF(R22&lt;=150,"超大70-150lb","超大150lb+")))))))</f>
        <v/>
      </c>
      <c r="T22" s="174">
        <f>IF(OR(O22="",P22="",Q22=""),"",MAX(O22,P22,Q22)/FBA规则!$B$5+2*((MEDIAN(O22,P22,Q22)+MIN(O22,P22,Q22))/FBA规则!$B$5))</f>
        <v/>
      </c>
      <c r="U22" s="114">
        <f>参数!$B$15</f>
        <v/>
      </c>
      <c r="V22" s="115">
        <f>IF(OR(C22="",U22=""),"",(IF(OR(VLOOKUP($C22,箱规!$A$2:$S$23,4,FALSE)="",VLOOKUP($C22,箱规!$A$2:$S$23,4,FALSE)=0),VLOOKUP($C22,箱规!$A$2:$S$23,2,FALSE)*VLOOKUP($C22,箱规!$A$2:$S$23,3,FALSE)/10000,VLOOKUP($C22,箱规!$A$2:$S$23,4,FALSE)))*U22)</f>
        <v/>
      </c>
      <c r="W22" s="114" t="n"/>
      <c r="X22" s="119">
        <f>IF(AND(V22&lt;&gt;"",M22&lt;&gt;""),V22/M22,IF(AND(W22&lt;&gt;"",M22&lt;&gt;""),W22*1.13/M22,""))</f>
        <v/>
      </c>
      <c r="Y22" s="142">
        <f>IF(OR(X22="",G22=""),"",X22/G22)</f>
        <v/>
      </c>
      <c r="Z22" s="119" t="n"/>
      <c r="AA22" s="115">
        <f>IF(OR(D22="",D22=0),"",IF(BG22="陆运",IF(BL22="",0,BL22)/D22,IF(BG22="海运",IF(BK22="",0,BK22)/D22,IF(BG22="海运+陆运",(IF(BK22="",0,BK22)+IF(BL22="",0,BL22))/D22,IF(BK22="",0,BK22)/D22))))</f>
        <v/>
      </c>
      <c r="AB22" s="119">
        <f>IF(OR(S22="",R22="",参数!$B$23=""),"",IF(S22="小标准",IFERROR(INDEX(FBA规则!$B$58:$C$65,MATCH(N22*FBA规则!$B$6*16,FBA规则!$A$58:$A$65,1),IF(参数!$B$23="旺季",2,1)),INDEX(FBA规则!$B$65:$C$65,1,IF(参数!$B$23="旺季",2,1))),IF(S22="大标准",IF(R22&lt;=3,IFERROR(INDEX(FBA规则!$B$35:$C$46,MATCH(R22,FBA规则!$A$35:$A$46,1),IF(参数!$B$23="旺季",2,1)),INDEX(FBA规则!$B$46:$C$46,1,IF(参数!$B$23="旺季",2,1))),INDEX(FBA规则!$B$47:$C$47,1,IF(参数!$B$23="旺季",2,1))+FBA规则!$D$47*CEILING((R22-3)*4,1)),IF(S22="大件",INDEX(FBA规则!$B$50:$C$50,1,IF(参数!$B$23="旺季",2,1))+FBA规则!$D$50*MAX(0,CEILING(R22,1)-1),IF(S22="超大0-50lb",INDEX(FBA规则!$B$51:$C$51,1,IF(参数!$B$23="旺季",2,1))+FBA规则!$D$51*MAX(0,CEILING(R22,1)-1),IF(S22="超大50-70lb",INDEX(FBA规则!$B$52:$C$52,1,IF(参数!$B$23="旺季",2,1))+FBA规则!$D$52*MAX(0,R22-FBA规则!$F$52),IF(S22="超大70-150lb",INDEX(FBA规则!$B$53:$C$53,1,IF(参数!$B$23="旺季",2,1))+FBA规则!$D$53*MAX(0,R22-FBA规则!$F$53),INDEX(FBA规则!$B$54:$C$54,1,IF(参数!$B$23="旺季",2,1))+FBA规则!$D$54*MAX(0,R22-FBA规则!$F$54))))))))</f>
        <v/>
      </c>
      <c r="AC22" s="119">
        <f>IF(OR(G22="",I22=""),"",G22*I22)</f>
        <v/>
      </c>
      <c r="AD22" s="119">
        <f>IF(OR(G22="",J22=""),"",G22*J22)</f>
        <v/>
      </c>
      <c r="AE22" s="119">
        <f>IF(OR(G22="",K22=""),"",G22*K22)</f>
        <v/>
      </c>
      <c r="AF22" s="119">
        <f>IF(OR(G22="",L22=""),"",G22*L22)</f>
        <v/>
      </c>
      <c r="AG22" s="142" t="n">
        <v>0.02</v>
      </c>
      <c r="AH22" s="119">
        <f>IF(OR(G22="",AG22=""),"",G22*AG22)</f>
        <v/>
      </c>
      <c r="AI22" s="119" t="n"/>
      <c r="AJ22" s="119">
        <f>IF(X22="","",X22+IF(OR(AA22="",M22=""),0,AA22/M22)+SUM(AB22:AF22)+IF(AH22="",0,AH22)+IF(AI22="",0,AI22))</f>
        <v/>
      </c>
      <c r="AK22" s="119">
        <f>IF(X22="","",0.13*X22/1.13)</f>
        <v/>
      </c>
      <c r="AL22" s="119">
        <f>IF(OR(G22="",AJ22=""),"",G22+AK22-AJ22)</f>
        <v/>
      </c>
      <c r="AM22" s="142">
        <f>IF(OR(AL22="",G22=""),"",AL22/G22)</f>
        <v/>
      </c>
      <c r="AN22" s="142">
        <f>IF(OR(X22="",H22=""),"",X22/H22)</f>
        <v/>
      </c>
      <c r="AO22" s="119" t="n"/>
      <c r="AP22" s="115">
        <f>AA22</f>
        <v/>
      </c>
      <c r="AQ22" s="119">
        <f>IF(OR(S22="",R22="",参数!$B$23=""),"",IF(S22="小标准",IFERROR(INDEX(FBA规则!$B$58:$C$65,MATCH(N22*FBA规则!$B$6*16,FBA规则!$A$58:$A$65,1),IF(参数!$B$23="旺季",2,1)),INDEX(FBA规则!$B$65:$C$65,1,IF(参数!$B$23="旺季",2,1))),IF(S22="大标准",IF(R22&lt;=3,IFERROR(INDEX(FBA规则!$B$35:$C$46,MATCH(R22,FBA规则!$A$35:$A$46,1),IF(参数!$B$23="旺季",2,1)),INDEX(FBA规则!$B$46:$C$46,1,IF(参数!$B$23="旺季",2,1))),INDEX(FBA规则!$B$47:$C$47,1,IF(参数!$B$23="旺季",2,1))+FBA规则!$D$47*CEILING((R22-3)*4,1)),IF(S22="大件",INDEX(FBA规则!$B$50:$C$50,1,IF(参数!$B$23="旺季",2,1))+FBA规则!$D$50*MAX(0,CEILING(R22,1)-1),IF(S22="超大0-50lb",INDEX(FBA规则!$B$51:$C$51,1,IF(参数!$B$23="旺季",2,1))+FBA规则!$D$51*MAX(0,CEILING(R22,1)-1),IF(S22="超大50-70lb",INDEX(FBA规则!$B$52:$C$52,1,IF(参数!$B$23="旺季",2,1))+FBA规则!$D$52*MAX(0,R22-FBA规则!$F$52),IF(S22="超大70-150lb",INDEX(FBA规则!$B$53:$C$53,1,IF(参数!$B$23="旺季",2,1))+FBA规则!$D$53*MAX(0,R22-FBA规则!$F$53),INDEX(FBA规则!$B$54:$C$54,1,IF(参数!$B$23="旺季",2,1))+FBA规则!$D$54*MAX(0,R22-FBA规则!$F$54))))))))</f>
        <v/>
      </c>
      <c r="AR22" s="119">
        <f>IF(OR(H22="",I22=""),"",H22*I22)</f>
        <v/>
      </c>
      <c r="AS22" s="119">
        <f>IF(OR(H22="",J22=""),"",H22*J22)</f>
        <v/>
      </c>
      <c r="AT22" s="119">
        <f>IF(OR(H22="",K22=""),"",H22*K22)</f>
        <v/>
      </c>
      <c r="AU22" s="119">
        <f>IF(OR(H22="",L22=""),"",H22*L22)</f>
        <v/>
      </c>
      <c r="AV22" s="142" t="n">
        <v>0.02</v>
      </c>
      <c r="AW22" s="119">
        <f>IF(OR(H22="",AV22=""),"",H22*AV22)</f>
        <v/>
      </c>
      <c r="AX22" s="119" t="n"/>
      <c r="AY22" s="119">
        <f>IF(X22="","",X22+IF(OR(AP22="",M22=""),0,AP22/M22)+SUM(AQ22:AU22)+IF(AW22="",0,AW22)+IF(AX22="",0,AX22))</f>
        <v/>
      </c>
      <c r="AZ22" s="119">
        <f>IF(X22="","",0.13*X22/1.13)</f>
        <v/>
      </c>
      <c r="BA22" s="119">
        <f>IF(OR(H22="",AY22=""),"",H22+AZ22-AY22)</f>
        <v/>
      </c>
      <c r="BB22" s="142">
        <f>IF(OR(BA22="",H22=""),"",BA22/H22)</f>
        <v/>
      </c>
      <c r="BC22" s="119">
        <f>IF(OR(H22="",AY22=""),"",H22-AY22)</f>
        <v/>
      </c>
      <c r="BD22" s="142">
        <f>IF(OR(BC22="",H22=""),"",BC22/H22)</f>
        <v/>
      </c>
      <c r="BE22" s="1" t="inlineStr">
        <is>
          <t>义乌</t>
        </is>
      </c>
      <c r="BF22" s="1" t="inlineStr">
        <is>
          <t>ABE8</t>
        </is>
      </c>
      <c r="BG22" s="1" t="inlineStr">
        <is>
          <t>海运</t>
        </is>
      </c>
      <c r="BH22" s="1" t="inlineStr">
        <is>
          <t>（最低价）</t>
        </is>
      </c>
      <c r="BI22" s="114">
        <f>IF(OR(BE22="",BF22=""),"",IF(AND(BH22&lt;&gt;"",BH22&lt;&gt;"（最低价）"),IFERROR(IF(SUMIFS(海运报价!$F$2:$F$2000,海运报价!$C$2:$C$2000,BH22,海运报价!$D$2:$D$2000,BE22,海运报价!$E$2:$E$2000,BF22)=0,"",SUMIFS(海运报价!$F$2:$F$2000,海运报价!$C$2:$C$2000,BH22,海运报价!$D$2:$D$2000,BE22,海运报价!$E$2:$E$2000,BF22)),""),IFERROR(IF(SUMIFS(海运下拉!$H$2:$H$311,海运下拉!$F$2:$F$311,BE22,海运下拉!$G$2:$G$311,BF22)=0,"",SUMIFS(海运下拉!$H$2:$H$311,海运下拉!$F$2:$F$311,BE22,海运下拉!$G$2:$G$311,BF22)),"")))</f>
        <v/>
      </c>
      <c r="BJ22" s="114">
        <f>IF(C22="","",VLOOKUP($C22,箱规!$A$2:$S$23,18,FALSE))</f>
        <v/>
      </c>
      <c r="BK22" s="115">
        <f>IF(OR(BI22="",BJ22=""),"",BJ22*(BI22+IF(AND(BH22&lt;&gt;"",BH22&lt;&gt;"（最低价）"),IFERROR(AVERAGEIFS(海运报价!$H$2:$H$2000,海运报价!$C$2:$C$2000,BH22,海运报价!$D$2:$D$2000,BE22,海运报价!$E$2:$E$2000,BF22),0),IFERROR(SUMIFS(海运下拉!$J$2:$J$311,海运下拉!$F$2:$F$311,BE22,海运下拉!$G$2:$G$311,BF22),0))))</f>
        <v/>
      </c>
      <c r="BL22" s="115" t="n"/>
      <c r="BM22" s="1">
        <f>IF(OR(BE22="",BF22=""),"请选起运地+FBA仓",IF(AND(AND(BH22&lt;&gt;"",BH22&lt;&gt;"（最低价）"),BI22=""),"⚠该渠道不服务此仓：请重选渠道，或选「（最低价）」",IF(BI22="","无报价：请换起运地/仓库",IF(AND(BH22&lt;&gt;"",BH22&lt;&gt;"（最低价）"),"按你选的渠道「"&amp;BH22&amp;"」计价","按最低价「"&amp;IFERROR(SUMIFS(海运下拉!$I$2:$I$311,海运下拉!$F$2:$F$311,BE22,海运下拉!$G$2:$G$311,BF22),"")&amp;"」（渠道默认最低价）"))))</f>
        <v/>
      </c>
      <c r="BO22" s="1">
        <f>IF(OR($BE22="",$BF22=""),"",IFERROR(INDEX(海运报价!$C$2:$C$2000,AGGREGATE(15,6,(ROW(海运报价!$C$2:$C$2000)-ROW(海运报价!$C$2)+1)/((海运报价!$D$2:$D$2000=$BE22)*(海运报价!$E$2:$E$2000=$BF22)),1)),""))</f>
        <v/>
      </c>
      <c r="BP22" s="1">
        <f>IF(OR($BE22="",$BF22=""),"",IFERROR(INDEX(海运报价!$C$2:$C$2000,AGGREGATE(15,6,(ROW(海运报价!$C$2:$C$2000)-ROW(海运报价!$C$2)+1)/((海运报价!$D$2:$D$2000=$BE22)*(海运报价!$E$2:$E$2000=$BF22)),2)),""))</f>
        <v/>
      </c>
      <c r="BQ22" s="1">
        <f>IF(OR($BE22="",$BF22=""),"",IFERROR(INDEX(海运报价!$C$2:$C$2000,AGGREGATE(15,6,(ROW(海运报价!$C$2:$C$2000)-ROW(海运报价!$C$2)+1)/((海运报价!$D$2:$D$2000=$BE22)*(海运报价!$E$2:$E$2000=$BF22)),3)),""))</f>
        <v/>
      </c>
      <c r="BR22" s="1">
        <f>IF(OR($BE22="",$BF22=""),"",IFERROR(INDEX(海运报价!$C$2:$C$2000,AGGREGATE(15,6,(ROW(海运报价!$C$2:$C$2000)-ROW(海运报价!$C$2)+1)/((海运报价!$D$2:$D$2000=$BE22)*(海运报价!$E$2:$E$2000=$BF22)),4)),""))</f>
        <v/>
      </c>
      <c r="BS22" s="1">
        <f>IF(OR($BE22="",$BF22=""),"",IFERROR(INDEX(海运报价!$C$2:$C$2000,AGGREGATE(15,6,(ROW(海运报价!$C$2:$C$2000)-ROW(海运报价!$C$2)+1)/((海运报价!$D$2:$D$2000=$BE22)*(海运报价!$E$2:$E$2000=$BF22)),5)),""))</f>
        <v/>
      </c>
      <c r="BT22" s="1">
        <f>IF(OR($BE22="",$BF22=""),"",IFERROR(INDEX(海运报价!$C$2:$C$2000,AGGREGATE(15,6,(ROW(海运报价!$C$2:$C$2000)-ROW(海运报价!$C$2)+1)/((海运报价!$D$2:$D$2000=$BE22)*(海运报价!$E$2:$E$2000=$BF22)),6)),""))</f>
        <v/>
      </c>
      <c r="BU22" s="1">
        <f>IF(OR($BE22="",$BF22=""),"",IFERROR(INDEX(海运报价!$C$2:$C$2000,AGGREGATE(15,6,(ROW(海运报价!$C$2:$C$2000)-ROW(海运报价!$C$2)+1)/((海运报价!$D$2:$D$2000=$BE22)*(海运报价!$E$2:$E$2000=$BF22)),7)),""))</f>
        <v/>
      </c>
      <c r="BV22" s="1">
        <f>IF(OR($BE22="",$BF22=""),"",IFERROR(INDEX(海运报价!$C$2:$C$2000,AGGREGATE(15,6,(ROW(海运报价!$C$2:$C$2000)-ROW(海运报价!$C$2)+1)/((海运报价!$D$2:$D$2000=$BE22)*(海运报价!$E$2:$E$2000=$BF22)),8)),""))</f>
        <v/>
      </c>
      <c r="BW22" s="1">
        <f>IF(OR($BE22="",$BF22=""),"",IFERROR(INDEX(海运报价!$C$2:$C$2000,AGGREGATE(15,6,(ROW(海运报价!$C$2:$C$2000)-ROW(海运报价!$C$2)+1)/((海运报价!$D$2:$D$2000=$BE22)*(海运报价!$E$2:$E$2000=$BF22)),9)),""))</f>
        <v/>
      </c>
      <c r="BX22" s="1">
        <f>IF(OR($BE22="",$BF22=""),"",IFERROR(INDEX(海运报价!$C$2:$C$2000,AGGREGATE(15,6,(ROW(海运报价!$C$2:$C$2000)-ROW(海运报价!$C$2)+1)/((海运报价!$D$2:$D$2000=$BE22)*(海运报价!$E$2:$E$2000=$BF22)),10)),""))</f>
        <v/>
      </c>
      <c r="BY22" s="1">
        <f>IF(OR($BE22="",$BF22=""),"",IFERROR(INDEX(海运报价!$C$2:$C$2000,AGGREGATE(15,6,(ROW(海运报价!$C$2:$C$2000)-ROW(海运报价!$C$2)+1)/((海运报价!$D$2:$D$2000=$BE22)*(海运报价!$E$2:$E$2000=$BF22)),11)),""))</f>
        <v/>
      </c>
      <c r="BZ22" s="1">
        <f>IF(OR($BE22="",$BF22=""),"",IFERROR(INDEX(海运报价!$C$2:$C$2000,AGGREGATE(15,6,(ROW(海运报价!$C$2:$C$2000)-ROW(海运报价!$C$2)+1)/((海运报价!$D$2:$D$2000=$BE22)*(海运报价!$E$2:$E$2000=$BF22)),12)),""))</f>
        <v/>
      </c>
      <c r="CA22" s="1">
        <f>IF(OR($BE22="",$BF22=""),"",IFERROR(INDEX(海运报价!$C$2:$C$2000,AGGREGATE(15,6,(ROW(海运报价!$C$2:$C$2000)-ROW(海运报价!$C$2)+1)/((海运报价!$D$2:$D$2000=$BE22)*(海运报价!$E$2:$E$2000=$BF22)),13)),""))</f>
        <v/>
      </c>
      <c r="CB22" s="1">
        <f>IF(OR($BE22="",$BF22=""),"",IFERROR(INDEX(海运报价!$C$2:$C$2000,AGGREGATE(15,6,(ROW(海运报价!$C$2:$C$2000)-ROW(海运报价!$C$2)+1)/((海运报价!$D$2:$D$2000=$BE22)*(海运报价!$E$2:$E$2000=$BF22)),14)),""))</f>
        <v/>
      </c>
      <c r="CC22" s="1">
        <f>IF(OR($BE22="",$BF22=""),"",IFERROR(INDEX(海运报价!$C$2:$C$2000,AGGREGATE(15,6,(ROW(海运报价!$C$2:$C$2000)-ROW(海运报价!$C$2)+1)/((海运报价!$D$2:$D$2000=$BE22)*(海运报价!$E$2:$E$2000=$BF22)),15)),""))</f>
        <v/>
      </c>
      <c r="CD22" s="1">
        <f>IF(OR(X22="",M22=""),"",X22+IF(OR(AA22="",M22=""),0,AA22/M22)+IF(AB22="",0,AB22)+IF(AI22="",0,AI22)+IF(Z22="",0,Z22))</f>
        <v/>
      </c>
      <c r="CE22" s="1">
        <f>I22+J22+K22+L22+AG22</f>
        <v/>
      </c>
    </row>
    <row r="23">
      <c r="C23" s="1" t="inlineStr">
        <is>
          <t>Φ3.4'</t>
        </is>
      </c>
      <c r="D23" s="144">
        <f>IF(C23="","",VLOOKUP($C23,箱规!$A$2:$S$23,9,FALSE))</f>
        <v/>
      </c>
      <c r="F23" s="119" t="n"/>
      <c r="G23" s="119">
        <f>IF(OR(CD23="",CE23="",CE23&gt;=1,X23=""),"",ROUNDUP((CD23-0.13*X23/1.13)/(1-CE23),2))</f>
        <v/>
      </c>
      <c r="H23" s="119">
        <f>IF(OR(CD23="",CE23="",X23=""),"",IF((1-CE23-参数!$B$16)&lt;=0,"费率过高",ROUND((CD23-0.13*X23/1.13)/(1-CE23-参数!$B$16),2)))</f>
        <v/>
      </c>
      <c r="I23" s="142" t="n">
        <v>0.15</v>
      </c>
      <c r="J23" s="142" t="n">
        <v>0.07000000000000001</v>
      </c>
      <c r="K23" s="142" t="n">
        <v>0.15</v>
      </c>
      <c r="L23" s="142" t="n">
        <v>0.01</v>
      </c>
      <c r="M23" s="114">
        <f>参数!$B$2</f>
        <v/>
      </c>
      <c r="N23" s="114">
        <f>IF(C23="","",VLOOKUP($C23,箱规!$A$2:$S$23,14,FALSE))</f>
        <v/>
      </c>
      <c r="O23" s="145">
        <f>IF(C23="","",VLOOKUP($C23,箱规!$A$2:$S$23,5,FALSE))</f>
        <v/>
      </c>
      <c r="P23" s="145">
        <f>IF(C23="","",VLOOKUP($C23,箱规!$A$2:$S$23,6,FALSE))</f>
        <v/>
      </c>
      <c r="Q23" s="145">
        <f>IF(C23="","",VLOOKUP($C23,箱规!$A$2:$S$23,7,FALSE))</f>
        <v/>
      </c>
      <c r="R23" s="174">
        <f>IF(OR(N23="",O23="",P23="",Q23=""),"",MAX(N23*FBA规则!$B$6,(O23/FBA规则!$B$5)*(P23/FBA规则!$B$5)*(Q23/FBA规则!$B$5)/FBA规则!$B$7))</f>
        <v/>
      </c>
      <c r="S23" s="174">
        <f>IF(R23="","",IF(AND(N23*FBA规则!$B$6&lt;=1,MAX(O23,P23,Q23)/FBA规则!$B$5&lt;=15,MEDIAN(O23,P23,Q23)/FBA规则!$B$5&lt;=12,MIN(O23,P23,Q23)/FBA规则!$B$5&lt;=0.75),"小标准",IF(AND(R23&lt;=20,MAX(O23,P23,Q23)/FBA规则!$B$5&lt;=18,MEDIAN(O23,P23,Q23)/FBA规则!$B$5&lt;=14,MIN(O23,P23,Q23)/FBA规则!$B$5&lt;=8),"大标准",IF(AND(R23&lt;=50,MAX(O23,P23,Q23)/FBA规则!$B$5&lt;=59,MEDIAN(O23,P23,Q23)/FBA规则!$B$5&lt;=33,MIN(O23,P23,Q23)/FBA规则!$B$5&lt;=33,T23&lt;=130),"大件",IF(R23&lt;=50,"超大0-50lb",IF(R23&lt;=70,"超大50-70lb",IF(R23&lt;=150,"超大70-150lb","超大150lb+")))))))</f>
        <v/>
      </c>
      <c r="T23" s="174">
        <f>IF(OR(O23="",P23="",Q23=""),"",MAX(O23,P23,Q23)/FBA规则!$B$5+2*((MEDIAN(O23,P23,Q23)+MIN(O23,P23,Q23))/FBA规则!$B$5))</f>
        <v/>
      </c>
      <c r="U23" s="114">
        <f>参数!$B$15</f>
        <v/>
      </c>
      <c r="V23" s="115">
        <f>IF(OR(C23="",U23=""),"",(IF(OR(VLOOKUP($C23,箱规!$A$2:$S$23,4,FALSE)="",VLOOKUP($C23,箱规!$A$2:$S$23,4,FALSE)=0),VLOOKUP($C23,箱规!$A$2:$S$23,2,FALSE)*VLOOKUP($C23,箱规!$A$2:$S$23,3,FALSE)/10000,VLOOKUP($C23,箱规!$A$2:$S$23,4,FALSE)))*U23)</f>
        <v/>
      </c>
      <c r="W23" s="114" t="n"/>
      <c r="X23" s="119">
        <f>IF(AND(V23&lt;&gt;"",M23&lt;&gt;""),V23/M23,IF(AND(W23&lt;&gt;"",M23&lt;&gt;""),W23*1.13/M23,""))</f>
        <v/>
      </c>
      <c r="Y23" s="142">
        <f>IF(OR(X23="",G23=""),"",X23/G23)</f>
        <v/>
      </c>
      <c r="Z23" s="119" t="n"/>
      <c r="AA23" s="115">
        <f>IF(OR(D23="",D23=0),"",IF(BG23="陆运",IF(BL23="",0,BL23)/D23,IF(BG23="海运",IF(BK23="",0,BK23)/D23,IF(BG23="海运+陆运",(IF(BK23="",0,BK23)+IF(BL23="",0,BL23))/D23,IF(BK23="",0,BK23)/D23))))</f>
        <v/>
      </c>
      <c r="AB23" s="119">
        <f>IF(OR(S23="",R23="",参数!$B$23=""),"",IF(S23="小标准",IFERROR(INDEX(FBA规则!$B$58:$C$65,MATCH(N23*FBA规则!$B$6*16,FBA规则!$A$58:$A$65,1),IF(参数!$B$23="旺季",2,1)),INDEX(FBA规则!$B$65:$C$65,1,IF(参数!$B$23="旺季",2,1))),IF(S23="大标准",IF(R23&lt;=3,IFERROR(INDEX(FBA规则!$B$35:$C$46,MATCH(R23,FBA规则!$A$35:$A$46,1),IF(参数!$B$23="旺季",2,1)),INDEX(FBA规则!$B$46:$C$46,1,IF(参数!$B$23="旺季",2,1))),INDEX(FBA规则!$B$47:$C$47,1,IF(参数!$B$23="旺季",2,1))+FBA规则!$D$47*CEILING((R23-3)*4,1)),IF(S23="大件",INDEX(FBA规则!$B$50:$C$50,1,IF(参数!$B$23="旺季",2,1))+FBA规则!$D$50*MAX(0,CEILING(R23,1)-1),IF(S23="超大0-50lb",INDEX(FBA规则!$B$51:$C$51,1,IF(参数!$B$23="旺季",2,1))+FBA规则!$D$51*MAX(0,CEILING(R23,1)-1),IF(S23="超大50-70lb",INDEX(FBA规则!$B$52:$C$52,1,IF(参数!$B$23="旺季",2,1))+FBA规则!$D$52*MAX(0,R23-FBA规则!$F$52),IF(S23="超大70-150lb",INDEX(FBA规则!$B$53:$C$53,1,IF(参数!$B$23="旺季",2,1))+FBA规则!$D$53*MAX(0,R23-FBA规则!$F$53),INDEX(FBA规则!$B$54:$C$54,1,IF(参数!$B$23="旺季",2,1))+FBA规则!$D$54*MAX(0,R23-FBA规则!$F$54))))))))</f>
        <v/>
      </c>
      <c r="AC23" s="119">
        <f>IF(OR(G23="",I23=""),"",G23*I23)</f>
        <v/>
      </c>
      <c r="AD23" s="119">
        <f>IF(OR(G23="",J23=""),"",G23*J23)</f>
        <v/>
      </c>
      <c r="AE23" s="119">
        <f>IF(OR(G23="",K23=""),"",G23*K23)</f>
        <v/>
      </c>
      <c r="AF23" s="119">
        <f>IF(OR(G23="",L23=""),"",G23*L23)</f>
        <v/>
      </c>
      <c r="AG23" s="142" t="n">
        <v>0.02</v>
      </c>
      <c r="AH23" s="119">
        <f>IF(OR(G23="",AG23=""),"",G23*AG23)</f>
        <v/>
      </c>
      <c r="AI23" s="119" t="n"/>
      <c r="AJ23" s="119">
        <f>IF(X23="","",X23+IF(OR(AA23="",M23=""),0,AA23/M23)+SUM(AB23:AF23)+IF(AH23="",0,AH23)+IF(AI23="",0,AI23))</f>
        <v/>
      </c>
      <c r="AK23" s="119">
        <f>IF(X23="","",0.13*X23/1.13)</f>
        <v/>
      </c>
      <c r="AL23" s="119">
        <f>IF(OR(G23="",AJ23=""),"",G23+AK23-AJ23)</f>
        <v/>
      </c>
      <c r="AM23" s="142">
        <f>IF(OR(AL23="",G23=""),"",AL23/G23)</f>
        <v/>
      </c>
      <c r="AN23" s="142">
        <f>IF(OR(X23="",H23=""),"",X23/H23)</f>
        <v/>
      </c>
      <c r="AO23" s="119" t="n"/>
      <c r="AP23" s="115">
        <f>AA23</f>
        <v/>
      </c>
      <c r="AQ23" s="119">
        <f>IF(OR(S23="",R23="",参数!$B$23=""),"",IF(S23="小标准",IFERROR(INDEX(FBA规则!$B$58:$C$65,MATCH(N23*FBA规则!$B$6*16,FBA规则!$A$58:$A$65,1),IF(参数!$B$23="旺季",2,1)),INDEX(FBA规则!$B$65:$C$65,1,IF(参数!$B$23="旺季",2,1))),IF(S23="大标准",IF(R23&lt;=3,IFERROR(INDEX(FBA规则!$B$35:$C$46,MATCH(R23,FBA规则!$A$35:$A$46,1),IF(参数!$B$23="旺季",2,1)),INDEX(FBA规则!$B$46:$C$46,1,IF(参数!$B$23="旺季",2,1))),INDEX(FBA规则!$B$47:$C$47,1,IF(参数!$B$23="旺季",2,1))+FBA规则!$D$47*CEILING((R23-3)*4,1)),IF(S23="大件",INDEX(FBA规则!$B$50:$C$50,1,IF(参数!$B$23="旺季",2,1))+FBA规则!$D$50*MAX(0,CEILING(R23,1)-1),IF(S23="超大0-50lb",INDEX(FBA规则!$B$51:$C$51,1,IF(参数!$B$23="旺季",2,1))+FBA规则!$D$51*MAX(0,CEILING(R23,1)-1),IF(S23="超大50-70lb",INDEX(FBA规则!$B$52:$C$52,1,IF(参数!$B$23="旺季",2,1))+FBA规则!$D$52*MAX(0,R23-FBA规则!$F$52),IF(S23="超大70-150lb",INDEX(FBA规则!$B$53:$C$53,1,IF(参数!$B$23="旺季",2,1))+FBA规则!$D$53*MAX(0,R23-FBA规则!$F$53),INDEX(FBA规则!$B$54:$C$54,1,IF(参数!$B$23="旺季",2,1))+FBA规则!$D$54*MAX(0,R23-FBA规则!$F$54))))))))</f>
        <v/>
      </c>
      <c r="AR23" s="119">
        <f>IF(OR(H23="",I23=""),"",H23*I23)</f>
        <v/>
      </c>
      <c r="AS23" s="119">
        <f>IF(OR(H23="",J23=""),"",H23*J23)</f>
        <v/>
      </c>
      <c r="AT23" s="119">
        <f>IF(OR(H23="",K23=""),"",H23*K23)</f>
        <v/>
      </c>
      <c r="AU23" s="119">
        <f>IF(OR(H23="",L23=""),"",H23*L23)</f>
        <v/>
      </c>
      <c r="AV23" s="142" t="n">
        <v>0.02</v>
      </c>
      <c r="AW23" s="119">
        <f>IF(OR(H23="",AV23=""),"",H23*AV23)</f>
        <v/>
      </c>
      <c r="AX23" s="119" t="n"/>
      <c r="AY23" s="119">
        <f>IF(X23="","",X23+IF(OR(AP23="",M23=""),0,AP23/M23)+SUM(AQ23:AU23)+IF(AW23="",0,AW23)+IF(AX23="",0,AX23))</f>
        <v/>
      </c>
      <c r="AZ23" s="119">
        <f>IF(X23="","",0.13*X23/1.13)</f>
        <v/>
      </c>
      <c r="BA23" s="119">
        <f>IF(OR(H23="",AY23=""),"",H23+AZ23-AY23)</f>
        <v/>
      </c>
      <c r="BB23" s="142">
        <f>IF(OR(BA23="",H23=""),"",BA23/H23)</f>
        <v/>
      </c>
      <c r="BC23" s="119">
        <f>IF(OR(H23="",AY23=""),"",H23-AY23)</f>
        <v/>
      </c>
      <c r="BD23" s="142">
        <f>IF(OR(BC23="",H23=""),"",BC23/H23)</f>
        <v/>
      </c>
      <c r="BE23" s="1" t="inlineStr">
        <is>
          <t>义乌</t>
        </is>
      </c>
      <c r="BF23" s="1" t="inlineStr">
        <is>
          <t>ABE8</t>
        </is>
      </c>
      <c r="BG23" s="1" t="inlineStr">
        <is>
          <t>海运</t>
        </is>
      </c>
      <c r="BH23" s="1" t="inlineStr">
        <is>
          <t>（最低价）</t>
        </is>
      </c>
      <c r="BI23" s="114">
        <f>IF(OR(BE23="",BF23=""),"",IF(AND(BH23&lt;&gt;"",BH23&lt;&gt;"（最低价）"),IFERROR(IF(SUMIFS(海运报价!$F$2:$F$2000,海运报价!$C$2:$C$2000,BH23,海运报价!$D$2:$D$2000,BE23,海运报价!$E$2:$E$2000,BF23)=0,"",SUMIFS(海运报价!$F$2:$F$2000,海运报价!$C$2:$C$2000,BH23,海运报价!$D$2:$D$2000,BE23,海运报价!$E$2:$E$2000,BF23)),""),IFERROR(IF(SUMIFS(海运下拉!$H$2:$H$311,海运下拉!$F$2:$F$311,BE23,海运下拉!$G$2:$G$311,BF23)=0,"",SUMIFS(海运下拉!$H$2:$H$311,海运下拉!$F$2:$F$311,BE23,海运下拉!$G$2:$G$311,BF23)),"")))</f>
        <v/>
      </c>
      <c r="BJ23" s="114">
        <f>IF(C23="","",VLOOKUP($C23,箱规!$A$2:$S$23,18,FALSE))</f>
        <v/>
      </c>
      <c r="BK23" s="115">
        <f>IF(OR(BI23="",BJ23=""),"",BJ23*(BI23+IF(AND(BH23&lt;&gt;"",BH23&lt;&gt;"（最低价）"),IFERROR(AVERAGEIFS(海运报价!$H$2:$H$2000,海运报价!$C$2:$C$2000,BH23,海运报价!$D$2:$D$2000,BE23,海运报价!$E$2:$E$2000,BF23),0),IFERROR(SUMIFS(海运下拉!$J$2:$J$311,海运下拉!$F$2:$F$311,BE23,海运下拉!$G$2:$G$311,BF23),0))))</f>
        <v/>
      </c>
      <c r="BL23" s="115" t="n"/>
      <c r="BM23" s="1">
        <f>IF(OR(BE23="",BF23=""),"请选起运地+FBA仓",IF(AND(AND(BH23&lt;&gt;"",BH23&lt;&gt;"（最低价）"),BI23=""),"⚠该渠道不服务此仓：请重选渠道，或选「（最低价）」",IF(BI23="","无报价：请换起运地/仓库",IF(AND(BH23&lt;&gt;"",BH23&lt;&gt;"（最低价）"),"按你选的渠道「"&amp;BH23&amp;"」计价","按最低价「"&amp;IFERROR(SUMIFS(海运下拉!$I$2:$I$311,海运下拉!$F$2:$F$311,BE23,海运下拉!$G$2:$G$311,BF23),"")&amp;"」（渠道默认最低价）"))))</f>
        <v/>
      </c>
      <c r="BO23" s="1">
        <f>IF(OR($BE23="",$BF23=""),"",IFERROR(INDEX(海运报价!$C$2:$C$2000,AGGREGATE(15,6,(ROW(海运报价!$C$2:$C$2000)-ROW(海运报价!$C$2)+1)/((海运报价!$D$2:$D$2000=$BE23)*(海运报价!$E$2:$E$2000=$BF23)),1)),""))</f>
        <v/>
      </c>
      <c r="BP23" s="1">
        <f>IF(OR($BE23="",$BF23=""),"",IFERROR(INDEX(海运报价!$C$2:$C$2000,AGGREGATE(15,6,(ROW(海运报价!$C$2:$C$2000)-ROW(海运报价!$C$2)+1)/((海运报价!$D$2:$D$2000=$BE23)*(海运报价!$E$2:$E$2000=$BF23)),2)),""))</f>
        <v/>
      </c>
      <c r="BQ23" s="1">
        <f>IF(OR($BE23="",$BF23=""),"",IFERROR(INDEX(海运报价!$C$2:$C$2000,AGGREGATE(15,6,(ROW(海运报价!$C$2:$C$2000)-ROW(海运报价!$C$2)+1)/((海运报价!$D$2:$D$2000=$BE23)*(海运报价!$E$2:$E$2000=$BF23)),3)),""))</f>
        <v/>
      </c>
      <c r="BR23" s="1">
        <f>IF(OR($BE23="",$BF23=""),"",IFERROR(INDEX(海运报价!$C$2:$C$2000,AGGREGATE(15,6,(ROW(海运报价!$C$2:$C$2000)-ROW(海运报价!$C$2)+1)/((海运报价!$D$2:$D$2000=$BE23)*(海运报价!$E$2:$E$2000=$BF23)),4)),""))</f>
        <v/>
      </c>
      <c r="BS23" s="1">
        <f>IF(OR($BE23="",$BF23=""),"",IFERROR(INDEX(海运报价!$C$2:$C$2000,AGGREGATE(15,6,(ROW(海运报价!$C$2:$C$2000)-ROW(海运报价!$C$2)+1)/((海运报价!$D$2:$D$2000=$BE23)*(海运报价!$E$2:$E$2000=$BF23)),5)),""))</f>
        <v/>
      </c>
      <c r="BT23" s="1">
        <f>IF(OR($BE23="",$BF23=""),"",IFERROR(INDEX(海运报价!$C$2:$C$2000,AGGREGATE(15,6,(ROW(海运报价!$C$2:$C$2000)-ROW(海运报价!$C$2)+1)/((海运报价!$D$2:$D$2000=$BE23)*(海运报价!$E$2:$E$2000=$BF23)),6)),""))</f>
        <v/>
      </c>
      <c r="BU23" s="1">
        <f>IF(OR($BE23="",$BF23=""),"",IFERROR(INDEX(海运报价!$C$2:$C$2000,AGGREGATE(15,6,(ROW(海运报价!$C$2:$C$2000)-ROW(海运报价!$C$2)+1)/((海运报价!$D$2:$D$2000=$BE23)*(海运报价!$E$2:$E$2000=$BF23)),7)),""))</f>
        <v/>
      </c>
      <c r="BV23" s="1">
        <f>IF(OR($BE23="",$BF23=""),"",IFERROR(INDEX(海运报价!$C$2:$C$2000,AGGREGATE(15,6,(ROW(海运报价!$C$2:$C$2000)-ROW(海运报价!$C$2)+1)/((海运报价!$D$2:$D$2000=$BE23)*(海运报价!$E$2:$E$2000=$BF23)),8)),""))</f>
        <v/>
      </c>
      <c r="BW23" s="1">
        <f>IF(OR($BE23="",$BF23=""),"",IFERROR(INDEX(海运报价!$C$2:$C$2000,AGGREGATE(15,6,(ROW(海运报价!$C$2:$C$2000)-ROW(海运报价!$C$2)+1)/((海运报价!$D$2:$D$2000=$BE23)*(海运报价!$E$2:$E$2000=$BF23)),9)),""))</f>
        <v/>
      </c>
      <c r="BX23" s="1">
        <f>IF(OR($BE23="",$BF23=""),"",IFERROR(INDEX(海运报价!$C$2:$C$2000,AGGREGATE(15,6,(ROW(海运报价!$C$2:$C$2000)-ROW(海运报价!$C$2)+1)/((海运报价!$D$2:$D$2000=$BE23)*(海运报价!$E$2:$E$2000=$BF23)),10)),""))</f>
        <v/>
      </c>
      <c r="BY23" s="1">
        <f>IF(OR($BE23="",$BF23=""),"",IFERROR(INDEX(海运报价!$C$2:$C$2000,AGGREGATE(15,6,(ROW(海运报价!$C$2:$C$2000)-ROW(海运报价!$C$2)+1)/((海运报价!$D$2:$D$2000=$BE23)*(海运报价!$E$2:$E$2000=$BF23)),11)),""))</f>
        <v/>
      </c>
      <c r="BZ23" s="1">
        <f>IF(OR($BE23="",$BF23=""),"",IFERROR(INDEX(海运报价!$C$2:$C$2000,AGGREGATE(15,6,(ROW(海运报价!$C$2:$C$2000)-ROW(海运报价!$C$2)+1)/((海运报价!$D$2:$D$2000=$BE23)*(海运报价!$E$2:$E$2000=$BF23)),12)),""))</f>
        <v/>
      </c>
      <c r="CA23" s="1">
        <f>IF(OR($BE23="",$BF23=""),"",IFERROR(INDEX(海运报价!$C$2:$C$2000,AGGREGATE(15,6,(ROW(海运报价!$C$2:$C$2000)-ROW(海运报价!$C$2)+1)/((海运报价!$D$2:$D$2000=$BE23)*(海运报价!$E$2:$E$2000=$BF23)),13)),""))</f>
        <v/>
      </c>
      <c r="CB23" s="1">
        <f>IF(OR($BE23="",$BF23=""),"",IFERROR(INDEX(海运报价!$C$2:$C$2000,AGGREGATE(15,6,(ROW(海运报价!$C$2:$C$2000)-ROW(海运报价!$C$2)+1)/((海运报价!$D$2:$D$2000=$BE23)*(海运报价!$E$2:$E$2000=$BF23)),14)),""))</f>
        <v/>
      </c>
      <c r="CC23" s="1">
        <f>IF(OR($BE23="",$BF23=""),"",IFERROR(INDEX(海运报价!$C$2:$C$2000,AGGREGATE(15,6,(ROW(海运报价!$C$2:$C$2000)-ROW(海运报价!$C$2)+1)/((海运报价!$D$2:$D$2000=$BE23)*(海运报价!$E$2:$E$2000=$BF23)),15)),""))</f>
        <v/>
      </c>
      <c r="CD23" s="1">
        <f>IF(OR(X23="",M23=""),"",X23+IF(OR(AA23="",M23=""),0,AA23/M23)+IF(AB23="",0,AB23)+IF(AI23="",0,AI23)+IF(Z23="",0,Z23))</f>
        <v/>
      </c>
      <c r="CE23" s="1">
        <f>I23+J23+K23+L23+AG23</f>
        <v/>
      </c>
    </row>
    <row r="24">
      <c r="C24" s="1" t="inlineStr">
        <is>
          <t>Φ5'</t>
        </is>
      </c>
      <c r="D24" s="144">
        <f>IF(C24="","",VLOOKUP($C24,箱规!$A$2:$S$23,9,FALSE))</f>
        <v/>
      </c>
      <c r="F24" s="119" t="n"/>
      <c r="G24" s="119">
        <f>IF(OR(CD24="",CE24="",CE24&gt;=1,X24=""),"",ROUNDUP((CD24-0.13*X24/1.13)/(1-CE24),2))</f>
        <v/>
      </c>
      <c r="H24" s="119">
        <f>IF(OR(CD24="",CE24="",X24=""),"",IF((1-CE24-参数!$B$16)&lt;=0,"费率过高",ROUND((CD24-0.13*X24/1.13)/(1-CE24-参数!$B$16),2)))</f>
        <v/>
      </c>
      <c r="I24" s="142" t="n">
        <v>0.15</v>
      </c>
      <c r="J24" s="142" t="n">
        <v>0.07000000000000001</v>
      </c>
      <c r="K24" s="142" t="n">
        <v>0.15</v>
      </c>
      <c r="L24" s="142" t="n">
        <v>0.01</v>
      </c>
      <c r="M24" s="114">
        <f>参数!$B$2</f>
        <v/>
      </c>
      <c r="N24" s="114">
        <f>IF(C24="","",VLOOKUP($C24,箱规!$A$2:$S$23,14,FALSE))</f>
        <v/>
      </c>
      <c r="O24" s="145">
        <f>IF(C24="","",VLOOKUP($C24,箱规!$A$2:$S$23,5,FALSE))</f>
        <v/>
      </c>
      <c r="P24" s="145">
        <f>IF(C24="","",VLOOKUP($C24,箱规!$A$2:$S$23,6,FALSE))</f>
        <v/>
      </c>
      <c r="Q24" s="145">
        <f>IF(C24="","",VLOOKUP($C24,箱规!$A$2:$S$23,7,FALSE))</f>
        <v/>
      </c>
      <c r="R24" s="174">
        <f>IF(OR(N24="",O24="",P24="",Q24=""),"",MAX(N24*FBA规则!$B$6,(O24/FBA规则!$B$5)*(P24/FBA规则!$B$5)*(Q24/FBA规则!$B$5)/FBA规则!$B$7))</f>
        <v/>
      </c>
      <c r="S24" s="174">
        <f>IF(R24="","",IF(AND(N24*FBA规则!$B$6&lt;=1,MAX(O24,P24,Q24)/FBA规则!$B$5&lt;=15,MEDIAN(O24,P24,Q24)/FBA规则!$B$5&lt;=12,MIN(O24,P24,Q24)/FBA规则!$B$5&lt;=0.75),"小标准",IF(AND(R24&lt;=20,MAX(O24,P24,Q24)/FBA规则!$B$5&lt;=18,MEDIAN(O24,P24,Q24)/FBA规则!$B$5&lt;=14,MIN(O24,P24,Q24)/FBA规则!$B$5&lt;=8),"大标准",IF(AND(R24&lt;=50,MAX(O24,P24,Q24)/FBA规则!$B$5&lt;=59,MEDIAN(O24,P24,Q24)/FBA规则!$B$5&lt;=33,MIN(O24,P24,Q24)/FBA规则!$B$5&lt;=33,T24&lt;=130),"大件",IF(R24&lt;=50,"超大0-50lb",IF(R24&lt;=70,"超大50-70lb",IF(R24&lt;=150,"超大70-150lb","超大150lb+")))))))</f>
        <v/>
      </c>
      <c r="T24" s="174">
        <f>IF(OR(O24="",P24="",Q24=""),"",MAX(O24,P24,Q24)/FBA规则!$B$5+2*((MEDIAN(O24,P24,Q24)+MIN(O24,P24,Q24))/FBA规则!$B$5))</f>
        <v/>
      </c>
      <c r="U24" s="114">
        <f>参数!$B$15</f>
        <v/>
      </c>
      <c r="V24" s="115">
        <f>IF(OR(C24="",U24=""),"",(IF(OR(VLOOKUP($C24,箱规!$A$2:$S$23,4,FALSE)="",VLOOKUP($C24,箱规!$A$2:$S$23,4,FALSE)=0),VLOOKUP($C24,箱规!$A$2:$S$23,2,FALSE)*VLOOKUP($C24,箱规!$A$2:$S$23,3,FALSE)/10000,VLOOKUP($C24,箱规!$A$2:$S$23,4,FALSE)))*U24)</f>
        <v/>
      </c>
      <c r="W24" s="114" t="n"/>
      <c r="X24" s="119">
        <f>IF(AND(V24&lt;&gt;"",M24&lt;&gt;""),V24/M24,IF(AND(W24&lt;&gt;"",M24&lt;&gt;""),W24*1.13/M24,""))</f>
        <v/>
      </c>
      <c r="Y24" s="142">
        <f>IF(OR(X24="",G24=""),"",X24/G24)</f>
        <v/>
      </c>
      <c r="Z24" s="119" t="n"/>
      <c r="AA24" s="115">
        <f>IF(OR(D24="",D24=0),"",IF(BG24="陆运",IF(BL24="",0,BL24)/D24,IF(BG24="海运",IF(BK24="",0,BK24)/D24,IF(BG24="海运+陆运",(IF(BK24="",0,BK24)+IF(BL24="",0,BL24))/D24,IF(BK24="",0,BK24)/D24))))</f>
        <v/>
      </c>
      <c r="AB24" s="119">
        <f>IF(OR(S24="",R24="",参数!$B$23=""),"",IF(S24="小标准",IFERROR(INDEX(FBA规则!$B$58:$C$65,MATCH(N24*FBA规则!$B$6*16,FBA规则!$A$58:$A$65,1),IF(参数!$B$23="旺季",2,1)),INDEX(FBA规则!$B$65:$C$65,1,IF(参数!$B$23="旺季",2,1))),IF(S24="大标准",IF(R24&lt;=3,IFERROR(INDEX(FBA规则!$B$35:$C$46,MATCH(R24,FBA规则!$A$35:$A$46,1),IF(参数!$B$23="旺季",2,1)),INDEX(FBA规则!$B$46:$C$46,1,IF(参数!$B$23="旺季",2,1))),INDEX(FBA规则!$B$47:$C$47,1,IF(参数!$B$23="旺季",2,1))+FBA规则!$D$47*CEILING((R24-3)*4,1)),IF(S24="大件",INDEX(FBA规则!$B$50:$C$50,1,IF(参数!$B$23="旺季",2,1))+FBA规则!$D$50*MAX(0,CEILING(R24,1)-1),IF(S24="超大0-50lb",INDEX(FBA规则!$B$51:$C$51,1,IF(参数!$B$23="旺季",2,1))+FBA规则!$D$51*MAX(0,CEILING(R24,1)-1),IF(S24="超大50-70lb",INDEX(FBA规则!$B$52:$C$52,1,IF(参数!$B$23="旺季",2,1))+FBA规则!$D$52*MAX(0,R24-FBA规则!$F$52),IF(S24="超大70-150lb",INDEX(FBA规则!$B$53:$C$53,1,IF(参数!$B$23="旺季",2,1))+FBA规则!$D$53*MAX(0,R24-FBA规则!$F$53),INDEX(FBA规则!$B$54:$C$54,1,IF(参数!$B$23="旺季",2,1))+FBA规则!$D$54*MAX(0,R24-FBA规则!$F$54))))))))</f>
        <v/>
      </c>
      <c r="AC24" s="119">
        <f>IF(OR(G24="",I24=""),"",G24*I24)</f>
        <v/>
      </c>
      <c r="AD24" s="119">
        <f>IF(OR(G24="",J24=""),"",G24*J24)</f>
        <v/>
      </c>
      <c r="AE24" s="119">
        <f>IF(OR(G24="",K24=""),"",G24*K24)</f>
        <v/>
      </c>
      <c r="AF24" s="119">
        <f>IF(OR(G24="",L24=""),"",G24*L24)</f>
        <v/>
      </c>
      <c r="AG24" s="142" t="n">
        <v>0.02</v>
      </c>
      <c r="AH24" s="119">
        <f>IF(OR(G24="",AG24=""),"",G24*AG24)</f>
        <v/>
      </c>
      <c r="AI24" s="119" t="n"/>
      <c r="AJ24" s="119">
        <f>IF(X24="","",X24+IF(OR(AA24="",M24=""),0,AA24/M24)+SUM(AB24:AF24)+IF(AH24="",0,AH24)+IF(AI24="",0,AI24))</f>
        <v/>
      </c>
      <c r="AK24" s="119">
        <f>IF(X24="","",0.13*X24/1.13)</f>
        <v/>
      </c>
      <c r="AL24" s="119">
        <f>IF(OR(G24="",AJ24=""),"",G24+AK24-AJ24)</f>
        <v/>
      </c>
      <c r="AM24" s="142">
        <f>IF(OR(AL24="",G24=""),"",AL24/G24)</f>
        <v/>
      </c>
      <c r="AN24" s="142">
        <f>IF(OR(X24="",H24=""),"",X24/H24)</f>
        <v/>
      </c>
      <c r="AO24" s="119" t="n"/>
      <c r="AP24" s="115">
        <f>AA24</f>
        <v/>
      </c>
      <c r="AQ24" s="119">
        <f>IF(OR(S24="",R24="",参数!$B$23=""),"",IF(S24="小标准",IFERROR(INDEX(FBA规则!$B$58:$C$65,MATCH(N24*FBA规则!$B$6*16,FBA规则!$A$58:$A$65,1),IF(参数!$B$23="旺季",2,1)),INDEX(FBA规则!$B$65:$C$65,1,IF(参数!$B$23="旺季",2,1))),IF(S24="大标准",IF(R24&lt;=3,IFERROR(INDEX(FBA规则!$B$35:$C$46,MATCH(R24,FBA规则!$A$35:$A$46,1),IF(参数!$B$23="旺季",2,1)),INDEX(FBA规则!$B$46:$C$46,1,IF(参数!$B$23="旺季",2,1))),INDEX(FBA规则!$B$47:$C$47,1,IF(参数!$B$23="旺季",2,1))+FBA规则!$D$47*CEILING((R24-3)*4,1)),IF(S24="大件",INDEX(FBA规则!$B$50:$C$50,1,IF(参数!$B$23="旺季",2,1))+FBA规则!$D$50*MAX(0,CEILING(R24,1)-1),IF(S24="超大0-50lb",INDEX(FBA规则!$B$51:$C$51,1,IF(参数!$B$23="旺季",2,1))+FBA规则!$D$51*MAX(0,CEILING(R24,1)-1),IF(S24="超大50-70lb",INDEX(FBA规则!$B$52:$C$52,1,IF(参数!$B$23="旺季",2,1))+FBA规则!$D$52*MAX(0,R24-FBA规则!$F$52),IF(S24="超大70-150lb",INDEX(FBA规则!$B$53:$C$53,1,IF(参数!$B$23="旺季",2,1))+FBA规则!$D$53*MAX(0,R24-FBA规则!$F$53),INDEX(FBA规则!$B$54:$C$54,1,IF(参数!$B$23="旺季",2,1))+FBA规则!$D$54*MAX(0,R24-FBA规则!$F$54))))))))</f>
        <v/>
      </c>
      <c r="AR24" s="119">
        <f>IF(OR(H24="",I24=""),"",H24*I24)</f>
        <v/>
      </c>
      <c r="AS24" s="119">
        <f>IF(OR(H24="",J24=""),"",H24*J24)</f>
        <v/>
      </c>
      <c r="AT24" s="119">
        <f>IF(OR(H24="",K24=""),"",H24*K24)</f>
        <v/>
      </c>
      <c r="AU24" s="119">
        <f>IF(OR(H24="",L24=""),"",H24*L24)</f>
        <v/>
      </c>
      <c r="AV24" s="142" t="n">
        <v>0.02</v>
      </c>
      <c r="AW24" s="119">
        <f>IF(OR(H24="",AV24=""),"",H24*AV24)</f>
        <v/>
      </c>
      <c r="AX24" s="119" t="n"/>
      <c r="AY24" s="119">
        <f>IF(X24="","",X24+IF(OR(AP24="",M24=""),0,AP24/M24)+SUM(AQ24:AU24)+IF(AW24="",0,AW24)+IF(AX24="",0,AX24))</f>
        <v/>
      </c>
      <c r="AZ24" s="119">
        <f>IF(X24="","",0.13*X24/1.13)</f>
        <v/>
      </c>
      <c r="BA24" s="119">
        <f>IF(OR(H24="",AY24=""),"",H24+AZ24-AY24)</f>
        <v/>
      </c>
      <c r="BB24" s="142">
        <f>IF(OR(BA24="",H24=""),"",BA24/H24)</f>
        <v/>
      </c>
      <c r="BC24" s="119">
        <f>IF(OR(H24="",AY24=""),"",H24-AY24)</f>
        <v/>
      </c>
      <c r="BD24" s="142">
        <f>IF(OR(BC24="",H24=""),"",BC24/H24)</f>
        <v/>
      </c>
      <c r="BE24" s="1" t="inlineStr">
        <is>
          <t>义乌</t>
        </is>
      </c>
      <c r="BF24" s="1" t="inlineStr">
        <is>
          <t>ABE8</t>
        </is>
      </c>
      <c r="BG24" s="1" t="inlineStr">
        <is>
          <t>海运</t>
        </is>
      </c>
      <c r="BH24" s="1" t="inlineStr">
        <is>
          <t>（最低价）</t>
        </is>
      </c>
      <c r="BI24" s="114">
        <f>IF(OR(BE24="",BF24=""),"",IF(AND(BH24&lt;&gt;"",BH24&lt;&gt;"（最低价）"),IFERROR(IF(SUMIFS(海运报价!$F$2:$F$2000,海运报价!$C$2:$C$2000,BH24,海运报价!$D$2:$D$2000,BE24,海运报价!$E$2:$E$2000,BF24)=0,"",SUMIFS(海运报价!$F$2:$F$2000,海运报价!$C$2:$C$2000,BH24,海运报价!$D$2:$D$2000,BE24,海运报价!$E$2:$E$2000,BF24)),""),IFERROR(IF(SUMIFS(海运下拉!$H$2:$H$311,海运下拉!$F$2:$F$311,BE24,海运下拉!$G$2:$G$311,BF24)=0,"",SUMIFS(海运下拉!$H$2:$H$311,海运下拉!$F$2:$F$311,BE24,海运下拉!$G$2:$G$311,BF24)),"")))</f>
        <v/>
      </c>
      <c r="BJ24" s="114">
        <f>IF(C24="","",VLOOKUP($C24,箱规!$A$2:$S$23,18,FALSE))</f>
        <v/>
      </c>
      <c r="BK24" s="115">
        <f>IF(OR(BI24="",BJ24=""),"",BJ24*(BI24+IF(AND(BH24&lt;&gt;"",BH24&lt;&gt;"（最低价）"),IFERROR(AVERAGEIFS(海运报价!$H$2:$H$2000,海运报价!$C$2:$C$2000,BH24,海运报价!$D$2:$D$2000,BE24,海运报价!$E$2:$E$2000,BF24),0),IFERROR(SUMIFS(海运下拉!$J$2:$J$311,海运下拉!$F$2:$F$311,BE24,海运下拉!$G$2:$G$311,BF24),0))))</f>
        <v/>
      </c>
      <c r="BL24" s="115" t="n"/>
      <c r="BM24" s="1">
        <f>IF(OR(BE24="",BF24=""),"请选起运地+FBA仓",IF(AND(AND(BH24&lt;&gt;"",BH24&lt;&gt;"（最低价）"),BI24=""),"⚠该渠道不服务此仓：请重选渠道，或选「（最低价）」",IF(BI24="","无报价：请换起运地/仓库",IF(AND(BH24&lt;&gt;"",BH24&lt;&gt;"（最低价）"),"按你选的渠道「"&amp;BH24&amp;"」计价","按最低价「"&amp;IFERROR(SUMIFS(海运下拉!$I$2:$I$311,海运下拉!$F$2:$F$311,BE24,海运下拉!$G$2:$G$311,BF24),"")&amp;"」（渠道默认最低价）"))))</f>
        <v/>
      </c>
      <c r="BO24" s="1">
        <f>IF(OR($BE24="",$BF24=""),"",IFERROR(INDEX(海运报价!$C$2:$C$2000,AGGREGATE(15,6,(ROW(海运报价!$C$2:$C$2000)-ROW(海运报价!$C$2)+1)/((海运报价!$D$2:$D$2000=$BE24)*(海运报价!$E$2:$E$2000=$BF24)),1)),""))</f>
        <v/>
      </c>
      <c r="BP24" s="1">
        <f>IF(OR($BE24="",$BF24=""),"",IFERROR(INDEX(海运报价!$C$2:$C$2000,AGGREGATE(15,6,(ROW(海运报价!$C$2:$C$2000)-ROW(海运报价!$C$2)+1)/((海运报价!$D$2:$D$2000=$BE24)*(海运报价!$E$2:$E$2000=$BF24)),2)),""))</f>
        <v/>
      </c>
      <c r="BQ24" s="1">
        <f>IF(OR($BE24="",$BF24=""),"",IFERROR(INDEX(海运报价!$C$2:$C$2000,AGGREGATE(15,6,(ROW(海运报价!$C$2:$C$2000)-ROW(海运报价!$C$2)+1)/((海运报价!$D$2:$D$2000=$BE24)*(海运报价!$E$2:$E$2000=$BF24)),3)),""))</f>
        <v/>
      </c>
      <c r="BR24" s="1">
        <f>IF(OR($BE24="",$BF24=""),"",IFERROR(INDEX(海运报价!$C$2:$C$2000,AGGREGATE(15,6,(ROW(海运报价!$C$2:$C$2000)-ROW(海运报价!$C$2)+1)/((海运报价!$D$2:$D$2000=$BE24)*(海运报价!$E$2:$E$2000=$BF24)),4)),""))</f>
        <v/>
      </c>
      <c r="BS24" s="1">
        <f>IF(OR($BE24="",$BF24=""),"",IFERROR(INDEX(海运报价!$C$2:$C$2000,AGGREGATE(15,6,(ROW(海运报价!$C$2:$C$2000)-ROW(海运报价!$C$2)+1)/((海运报价!$D$2:$D$2000=$BE24)*(海运报价!$E$2:$E$2000=$BF24)),5)),""))</f>
        <v/>
      </c>
      <c r="BT24" s="1">
        <f>IF(OR($BE24="",$BF24=""),"",IFERROR(INDEX(海运报价!$C$2:$C$2000,AGGREGATE(15,6,(ROW(海运报价!$C$2:$C$2000)-ROW(海运报价!$C$2)+1)/((海运报价!$D$2:$D$2000=$BE24)*(海运报价!$E$2:$E$2000=$BF24)),6)),""))</f>
        <v/>
      </c>
      <c r="BU24" s="1">
        <f>IF(OR($BE24="",$BF24=""),"",IFERROR(INDEX(海运报价!$C$2:$C$2000,AGGREGATE(15,6,(ROW(海运报价!$C$2:$C$2000)-ROW(海运报价!$C$2)+1)/((海运报价!$D$2:$D$2000=$BE24)*(海运报价!$E$2:$E$2000=$BF24)),7)),""))</f>
        <v/>
      </c>
      <c r="BV24" s="1">
        <f>IF(OR($BE24="",$BF24=""),"",IFERROR(INDEX(海运报价!$C$2:$C$2000,AGGREGATE(15,6,(ROW(海运报价!$C$2:$C$2000)-ROW(海运报价!$C$2)+1)/((海运报价!$D$2:$D$2000=$BE24)*(海运报价!$E$2:$E$2000=$BF24)),8)),""))</f>
        <v/>
      </c>
      <c r="BW24" s="1">
        <f>IF(OR($BE24="",$BF24=""),"",IFERROR(INDEX(海运报价!$C$2:$C$2000,AGGREGATE(15,6,(ROW(海运报价!$C$2:$C$2000)-ROW(海运报价!$C$2)+1)/((海运报价!$D$2:$D$2000=$BE24)*(海运报价!$E$2:$E$2000=$BF24)),9)),""))</f>
        <v/>
      </c>
      <c r="BX24" s="1">
        <f>IF(OR($BE24="",$BF24=""),"",IFERROR(INDEX(海运报价!$C$2:$C$2000,AGGREGATE(15,6,(ROW(海运报价!$C$2:$C$2000)-ROW(海运报价!$C$2)+1)/((海运报价!$D$2:$D$2000=$BE24)*(海运报价!$E$2:$E$2000=$BF24)),10)),""))</f>
        <v/>
      </c>
      <c r="BY24" s="1">
        <f>IF(OR($BE24="",$BF24=""),"",IFERROR(INDEX(海运报价!$C$2:$C$2000,AGGREGATE(15,6,(ROW(海运报价!$C$2:$C$2000)-ROW(海运报价!$C$2)+1)/((海运报价!$D$2:$D$2000=$BE24)*(海运报价!$E$2:$E$2000=$BF24)),11)),""))</f>
        <v/>
      </c>
      <c r="BZ24" s="1">
        <f>IF(OR($BE24="",$BF24=""),"",IFERROR(INDEX(海运报价!$C$2:$C$2000,AGGREGATE(15,6,(ROW(海运报价!$C$2:$C$2000)-ROW(海运报价!$C$2)+1)/((海运报价!$D$2:$D$2000=$BE24)*(海运报价!$E$2:$E$2000=$BF24)),12)),""))</f>
        <v/>
      </c>
      <c r="CA24" s="1">
        <f>IF(OR($BE24="",$BF24=""),"",IFERROR(INDEX(海运报价!$C$2:$C$2000,AGGREGATE(15,6,(ROW(海运报价!$C$2:$C$2000)-ROW(海运报价!$C$2)+1)/((海运报价!$D$2:$D$2000=$BE24)*(海运报价!$E$2:$E$2000=$BF24)),13)),""))</f>
        <v/>
      </c>
      <c r="CB24" s="1">
        <f>IF(OR($BE24="",$BF24=""),"",IFERROR(INDEX(海运报价!$C$2:$C$2000,AGGREGATE(15,6,(ROW(海运报价!$C$2:$C$2000)-ROW(海运报价!$C$2)+1)/((海运报价!$D$2:$D$2000=$BE24)*(海运报价!$E$2:$E$2000=$BF24)),14)),""))</f>
        <v/>
      </c>
      <c r="CC24" s="1">
        <f>IF(OR($BE24="",$BF24=""),"",IFERROR(INDEX(海运报价!$C$2:$C$2000,AGGREGATE(15,6,(ROW(海运报价!$C$2:$C$2000)-ROW(海运报价!$C$2)+1)/((海运报价!$D$2:$D$2000=$BE24)*(海运报价!$E$2:$E$2000=$BF24)),15)),""))</f>
        <v/>
      </c>
      <c r="CD24" s="1">
        <f>IF(OR(X24="",M24=""),"",X24+IF(OR(AA24="",M24=""),0,AA24/M24)+IF(AB24="",0,AB24)+IF(AI24="",0,AI24)+IF(Z24="",0,Z24))</f>
        <v/>
      </c>
      <c r="CE24" s="1">
        <f>I24+J24+K24+L24+AG24</f>
        <v/>
      </c>
    </row>
    <row r="25">
      <c r="C25" s="1" t="inlineStr">
        <is>
          <t>2.6*8</t>
        </is>
      </c>
      <c r="D25" s="144">
        <f>IF(C25="","",VLOOKUP($C25,箱规!$A$2:$S$23,9,FALSE))</f>
        <v/>
      </c>
      <c r="F25" s="119" t="n"/>
      <c r="G25" s="119">
        <f>IF(OR(CD25="",CE25="",CE25&gt;=1,X25=""),"",ROUNDUP((CD25-0.13*X25/1.13)/(1-CE25),2))</f>
        <v/>
      </c>
      <c r="H25" s="119">
        <f>IF(OR(CD25="",CE25="",X25=""),"",IF((1-CE25-参数!$B$16)&lt;=0,"费率过高",ROUND((CD25-0.13*X25/1.13)/(1-CE25-参数!$B$16),2)))</f>
        <v/>
      </c>
      <c r="I25" s="142" t="n">
        <v>0.15</v>
      </c>
      <c r="J25" s="142" t="n">
        <v>0.07000000000000001</v>
      </c>
      <c r="K25" s="142" t="n">
        <v>0.15</v>
      </c>
      <c r="L25" s="142" t="n">
        <v>0.01</v>
      </c>
      <c r="M25" s="114">
        <f>参数!$B$2</f>
        <v/>
      </c>
      <c r="N25" s="114">
        <f>IF(C25="","",VLOOKUP($C25,箱规!$A$2:$S$23,14,FALSE))</f>
        <v/>
      </c>
      <c r="O25" s="145">
        <f>IF(C25="","",VLOOKUP($C25,箱规!$A$2:$S$23,5,FALSE))</f>
        <v/>
      </c>
      <c r="P25" s="145">
        <f>IF(C25="","",VLOOKUP($C25,箱规!$A$2:$S$23,6,FALSE))</f>
        <v/>
      </c>
      <c r="Q25" s="145">
        <f>IF(C25="","",VLOOKUP($C25,箱规!$A$2:$S$23,7,FALSE))</f>
        <v/>
      </c>
      <c r="R25" s="174">
        <f>IF(OR(N25="",O25="",P25="",Q25=""),"",MAX(N25*FBA规则!$B$6,(O25/FBA规则!$B$5)*(P25/FBA规则!$B$5)*(Q25/FBA规则!$B$5)/FBA规则!$B$7))</f>
        <v/>
      </c>
      <c r="S25" s="174">
        <f>IF(R25="","",IF(AND(N25*FBA规则!$B$6&lt;=1,MAX(O25,P25,Q25)/FBA规则!$B$5&lt;=15,MEDIAN(O25,P25,Q25)/FBA规则!$B$5&lt;=12,MIN(O25,P25,Q25)/FBA规则!$B$5&lt;=0.75),"小标准",IF(AND(R25&lt;=20,MAX(O25,P25,Q25)/FBA规则!$B$5&lt;=18,MEDIAN(O25,P25,Q25)/FBA规则!$B$5&lt;=14,MIN(O25,P25,Q25)/FBA规则!$B$5&lt;=8),"大标准",IF(AND(R25&lt;=50,MAX(O25,P25,Q25)/FBA规则!$B$5&lt;=59,MEDIAN(O25,P25,Q25)/FBA规则!$B$5&lt;=33,MIN(O25,P25,Q25)/FBA规则!$B$5&lt;=33,T25&lt;=130),"大件",IF(R25&lt;=50,"超大0-50lb",IF(R25&lt;=70,"超大50-70lb",IF(R25&lt;=150,"超大70-150lb","超大150lb+")))))))</f>
        <v/>
      </c>
      <c r="T25" s="174">
        <f>IF(OR(O25="",P25="",Q25=""),"",MAX(O25,P25,Q25)/FBA规则!$B$5+2*((MEDIAN(O25,P25,Q25)+MIN(O25,P25,Q25))/FBA规则!$B$5))</f>
        <v/>
      </c>
      <c r="U25" s="114">
        <f>参数!$B$15</f>
        <v/>
      </c>
      <c r="V25" s="115">
        <f>IF(OR(C25="",U25=""),"",(IF(OR(VLOOKUP($C25,箱规!$A$2:$S$23,4,FALSE)="",VLOOKUP($C25,箱规!$A$2:$S$23,4,FALSE)=0),VLOOKUP($C25,箱规!$A$2:$S$23,2,FALSE)*VLOOKUP($C25,箱规!$A$2:$S$23,3,FALSE)/10000,VLOOKUP($C25,箱规!$A$2:$S$23,4,FALSE)))*U25)</f>
        <v/>
      </c>
      <c r="W25" s="114" t="n"/>
      <c r="X25" s="119">
        <f>IF(AND(V25&lt;&gt;"",M25&lt;&gt;""),V25/M25,IF(AND(W25&lt;&gt;"",M25&lt;&gt;""),W25*1.13/M25,""))</f>
        <v/>
      </c>
      <c r="Y25" s="142">
        <f>IF(OR(X25="",G25=""),"",X25/G25)</f>
        <v/>
      </c>
      <c r="Z25" s="119" t="n"/>
      <c r="AA25" s="115">
        <f>IF(OR(D25="",D25=0),"",IF(BG25="陆运",IF(BL25="",0,BL25)/D25,IF(BG25="海运",IF(BK25="",0,BK25)/D25,IF(BG25="海运+陆运",(IF(BK25="",0,BK25)+IF(BL25="",0,BL25))/D25,IF(BK25="",0,BK25)/D25))))</f>
        <v/>
      </c>
      <c r="AB25" s="119">
        <f>IF(OR(S25="",R25="",参数!$B$23=""),"",IF(S25="小标准",IFERROR(INDEX(FBA规则!$B$58:$C$65,MATCH(N25*FBA规则!$B$6*16,FBA规则!$A$58:$A$65,1),IF(参数!$B$23="旺季",2,1)),INDEX(FBA规则!$B$65:$C$65,1,IF(参数!$B$23="旺季",2,1))),IF(S25="大标准",IF(R25&lt;=3,IFERROR(INDEX(FBA规则!$B$35:$C$46,MATCH(R25,FBA规则!$A$35:$A$46,1),IF(参数!$B$23="旺季",2,1)),INDEX(FBA规则!$B$46:$C$46,1,IF(参数!$B$23="旺季",2,1))),INDEX(FBA规则!$B$47:$C$47,1,IF(参数!$B$23="旺季",2,1))+FBA规则!$D$47*CEILING((R25-3)*4,1)),IF(S25="大件",INDEX(FBA规则!$B$50:$C$50,1,IF(参数!$B$23="旺季",2,1))+FBA规则!$D$50*MAX(0,CEILING(R25,1)-1),IF(S25="超大0-50lb",INDEX(FBA规则!$B$51:$C$51,1,IF(参数!$B$23="旺季",2,1))+FBA规则!$D$51*MAX(0,CEILING(R25,1)-1),IF(S25="超大50-70lb",INDEX(FBA规则!$B$52:$C$52,1,IF(参数!$B$23="旺季",2,1))+FBA规则!$D$52*MAX(0,R25-FBA规则!$F$52),IF(S25="超大70-150lb",INDEX(FBA规则!$B$53:$C$53,1,IF(参数!$B$23="旺季",2,1))+FBA规则!$D$53*MAX(0,R25-FBA规则!$F$53),INDEX(FBA规则!$B$54:$C$54,1,IF(参数!$B$23="旺季",2,1))+FBA规则!$D$54*MAX(0,R25-FBA规则!$F$54))))))))</f>
        <v/>
      </c>
      <c r="AC25" s="119">
        <f>IF(OR(G25="",I25=""),"",G25*I25)</f>
        <v/>
      </c>
      <c r="AD25" s="119">
        <f>IF(OR(G25="",J25=""),"",G25*J25)</f>
        <v/>
      </c>
      <c r="AE25" s="119">
        <f>IF(OR(G25="",K25=""),"",G25*K25)</f>
        <v/>
      </c>
      <c r="AF25" s="119">
        <f>IF(OR(G25="",L25=""),"",G25*L25)</f>
        <v/>
      </c>
      <c r="AG25" s="142" t="n">
        <v>0.02</v>
      </c>
      <c r="AH25" s="119">
        <f>IF(OR(G25="",AG25=""),"",G25*AG25)</f>
        <v/>
      </c>
      <c r="AI25" s="119" t="n"/>
      <c r="AJ25" s="119">
        <f>IF(X25="","",X25+IF(OR(AA25="",M25=""),0,AA25/M25)+SUM(AB25:AF25)+IF(AH25="",0,AH25)+IF(AI25="",0,AI25))</f>
        <v/>
      </c>
      <c r="AK25" s="119">
        <f>IF(X25="","",0.13*X25/1.13)</f>
        <v/>
      </c>
      <c r="AL25" s="119">
        <f>IF(OR(G25="",AJ25=""),"",G25+AK25-AJ25)</f>
        <v/>
      </c>
      <c r="AM25" s="142">
        <f>IF(OR(AL25="",G25=""),"",AL25/G25)</f>
        <v/>
      </c>
      <c r="AN25" s="142">
        <f>IF(OR(X25="",H25=""),"",X25/H25)</f>
        <v/>
      </c>
      <c r="AO25" s="119" t="n"/>
      <c r="AP25" s="115">
        <f>AA25</f>
        <v/>
      </c>
      <c r="AQ25" s="119">
        <f>IF(OR(S25="",R25="",参数!$B$23=""),"",IF(S25="小标准",IFERROR(INDEX(FBA规则!$B$58:$C$65,MATCH(N25*FBA规则!$B$6*16,FBA规则!$A$58:$A$65,1),IF(参数!$B$23="旺季",2,1)),INDEX(FBA规则!$B$65:$C$65,1,IF(参数!$B$23="旺季",2,1))),IF(S25="大标准",IF(R25&lt;=3,IFERROR(INDEX(FBA规则!$B$35:$C$46,MATCH(R25,FBA规则!$A$35:$A$46,1),IF(参数!$B$23="旺季",2,1)),INDEX(FBA规则!$B$46:$C$46,1,IF(参数!$B$23="旺季",2,1))),INDEX(FBA规则!$B$47:$C$47,1,IF(参数!$B$23="旺季",2,1))+FBA规则!$D$47*CEILING((R25-3)*4,1)),IF(S25="大件",INDEX(FBA规则!$B$50:$C$50,1,IF(参数!$B$23="旺季",2,1))+FBA规则!$D$50*MAX(0,CEILING(R25,1)-1),IF(S25="超大0-50lb",INDEX(FBA规则!$B$51:$C$51,1,IF(参数!$B$23="旺季",2,1))+FBA规则!$D$51*MAX(0,CEILING(R25,1)-1),IF(S25="超大50-70lb",INDEX(FBA规则!$B$52:$C$52,1,IF(参数!$B$23="旺季",2,1))+FBA规则!$D$52*MAX(0,R25-FBA规则!$F$52),IF(S25="超大70-150lb",INDEX(FBA规则!$B$53:$C$53,1,IF(参数!$B$23="旺季",2,1))+FBA规则!$D$53*MAX(0,R25-FBA规则!$F$53),INDEX(FBA规则!$B$54:$C$54,1,IF(参数!$B$23="旺季",2,1))+FBA规则!$D$54*MAX(0,R25-FBA规则!$F$54))))))))</f>
        <v/>
      </c>
      <c r="AR25" s="119">
        <f>IF(OR(H25="",I25=""),"",H25*I25)</f>
        <v/>
      </c>
      <c r="AS25" s="119">
        <f>IF(OR(H25="",J25=""),"",H25*J25)</f>
        <v/>
      </c>
      <c r="AT25" s="119">
        <f>IF(OR(H25="",K25=""),"",H25*K25)</f>
        <v/>
      </c>
      <c r="AU25" s="119">
        <f>IF(OR(H25="",L25=""),"",H25*L25)</f>
        <v/>
      </c>
      <c r="AV25" s="142" t="n">
        <v>0.02</v>
      </c>
      <c r="AW25" s="119">
        <f>IF(OR(H25="",AV25=""),"",H25*AV25)</f>
        <v/>
      </c>
      <c r="AX25" s="119" t="n"/>
      <c r="AY25" s="119">
        <f>IF(X25="","",X25+IF(OR(AP25="",M25=""),0,AP25/M25)+SUM(AQ25:AU25)+IF(AW25="",0,AW25)+IF(AX25="",0,AX25))</f>
        <v/>
      </c>
      <c r="AZ25" s="119">
        <f>IF(X25="","",0.13*X25/1.13)</f>
        <v/>
      </c>
      <c r="BA25" s="119">
        <f>IF(OR(H25="",AY25=""),"",H25+AZ25-AY25)</f>
        <v/>
      </c>
      <c r="BB25" s="142">
        <f>IF(OR(BA25="",H25=""),"",BA25/H25)</f>
        <v/>
      </c>
      <c r="BC25" s="119">
        <f>IF(OR(H25="",AY25=""),"",H25-AY25)</f>
        <v/>
      </c>
      <c r="BD25" s="142">
        <f>IF(OR(BC25="",H25=""),"",BC25/H25)</f>
        <v/>
      </c>
      <c r="BE25" s="1" t="inlineStr">
        <is>
          <t>义乌</t>
        </is>
      </c>
      <c r="BF25" s="1" t="inlineStr">
        <is>
          <t>ABE8</t>
        </is>
      </c>
      <c r="BG25" s="1" t="inlineStr">
        <is>
          <t>海运</t>
        </is>
      </c>
      <c r="BH25" s="1" t="inlineStr">
        <is>
          <t>（最低价）</t>
        </is>
      </c>
      <c r="BI25" s="114">
        <f>IF(OR(BE25="",BF25=""),"",IF(AND(BH25&lt;&gt;"",BH25&lt;&gt;"（最低价）"),IFERROR(IF(SUMIFS(海运报价!$F$2:$F$2000,海运报价!$C$2:$C$2000,BH25,海运报价!$D$2:$D$2000,BE25,海运报价!$E$2:$E$2000,BF25)=0,"",SUMIFS(海运报价!$F$2:$F$2000,海运报价!$C$2:$C$2000,BH25,海运报价!$D$2:$D$2000,BE25,海运报价!$E$2:$E$2000,BF25)),""),IFERROR(IF(SUMIFS(海运下拉!$H$2:$H$311,海运下拉!$F$2:$F$311,BE25,海运下拉!$G$2:$G$311,BF25)=0,"",SUMIFS(海运下拉!$H$2:$H$311,海运下拉!$F$2:$F$311,BE25,海运下拉!$G$2:$G$311,BF25)),"")))</f>
        <v/>
      </c>
      <c r="BJ25" s="114">
        <f>IF(C25="","",VLOOKUP($C25,箱规!$A$2:$S$23,18,FALSE))</f>
        <v/>
      </c>
      <c r="BK25" s="115">
        <f>IF(OR(BI25="",BJ25=""),"",BJ25*(BI25+IF(AND(BH25&lt;&gt;"",BH25&lt;&gt;"（最低价）"),IFERROR(AVERAGEIFS(海运报价!$H$2:$H$2000,海运报价!$C$2:$C$2000,BH25,海运报价!$D$2:$D$2000,BE25,海运报价!$E$2:$E$2000,BF25),0),IFERROR(SUMIFS(海运下拉!$J$2:$J$311,海运下拉!$F$2:$F$311,BE25,海运下拉!$G$2:$G$311,BF25),0))))</f>
        <v/>
      </c>
      <c r="BL25" s="115" t="n"/>
      <c r="BM25" s="1">
        <f>IF(OR(BE25="",BF25=""),"请选起运地+FBA仓",IF(AND(AND(BH25&lt;&gt;"",BH25&lt;&gt;"（最低价）"),BI25=""),"⚠该渠道不服务此仓：请重选渠道，或选「（最低价）」",IF(BI25="","无报价：请换起运地/仓库",IF(AND(BH25&lt;&gt;"",BH25&lt;&gt;"（最低价）"),"按你选的渠道「"&amp;BH25&amp;"」计价","按最低价「"&amp;IFERROR(SUMIFS(海运下拉!$I$2:$I$311,海运下拉!$F$2:$F$311,BE25,海运下拉!$G$2:$G$311,BF25),"")&amp;"」（渠道默认最低价）"))))</f>
        <v/>
      </c>
      <c r="BO25" s="1">
        <f>IF(OR($BE25="",$BF25=""),"",IFERROR(INDEX(海运报价!$C$2:$C$2000,AGGREGATE(15,6,(ROW(海运报价!$C$2:$C$2000)-ROW(海运报价!$C$2)+1)/((海运报价!$D$2:$D$2000=$BE25)*(海运报价!$E$2:$E$2000=$BF25)),1)),""))</f>
        <v/>
      </c>
      <c r="BP25" s="1">
        <f>IF(OR($BE25="",$BF25=""),"",IFERROR(INDEX(海运报价!$C$2:$C$2000,AGGREGATE(15,6,(ROW(海运报价!$C$2:$C$2000)-ROW(海运报价!$C$2)+1)/((海运报价!$D$2:$D$2000=$BE25)*(海运报价!$E$2:$E$2000=$BF25)),2)),""))</f>
        <v/>
      </c>
      <c r="BQ25" s="1">
        <f>IF(OR($BE25="",$BF25=""),"",IFERROR(INDEX(海运报价!$C$2:$C$2000,AGGREGATE(15,6,(ROW(海运报价!$C$2:$C$2000)-ROW(海运报价!$C$2)+1)/((海运报价!$D$2:$D$2000=$BE25)*(海运报价!$E$2:$E$2000=$BF25)),3)),""))</f>
        <v/>
      </c>
      <c r="BR25" s="1">
        <f>IF(OR($BE25="",$BF25=""),"",IFERROR(INDEX(海运报价!$C$2:$C$2000,AGGREGATE(15,6,(ROW(海运报价!$C$2:$C$2000)-ROW(海运报价!$C$2)+1)/((海运报价!$D$2:$D$2000=$BE25)*(海运报价!$E$2:$E$2000=$BF25)),4)),""))</f>
        <v/>
      </c>
      <c r="BS25" s="1">
        <f>IF(OR($BE25="",$BF25=""),"",IFERROR(INDEX(海运报价!$C$2:$C$2000,AGGREGATE(15,6,(ROW(海运报价!$C$2:$C$2000)-ROW(海运报价!$C$2)+1)/((海运报价!$D$2:$D$2000=$BE25)*(海运报价!$E$2:$E$2000=$BF25)),5)),""))</f>
        <v/>
      </c>
      <c r="BT25" s="1">
        <f>IF(OR($BE25="",$BF25=""),"",IFERROR(INDEX(海运报价!$C$2:$C$2000,AGGREGATE(15,6,(ROW(海运报价!$C$2:$C$2000)-ROW(海运报价!$C$2)+1)/((海运报价!$D$2:$D$2000=$BE25)*(海运报价!$E$2:$E$2000=$BF25)),6)),""))</f>
        <v/>
      </c>
      <c r="BU25" s="1">
        <f>IF(OR($BE25="",$BF25=""),"",IFERROR(INDEX(海运报价!$C$2:$C$2000,AGGREGATE(15,6,(ROW(海运报价!$C$2:$C$2000)-ROW(海运报价!$C$2)+1)/((海运报价!$D$2:$D$2000=$BE25)*(海运报价!$E$2:$E$2000=$BF25)),7)),""))</f>
        <v/>
      </c>
      <c r="BV25" s="1">
        <f>IF(OR($BE25="",$BF25=""),"",IFERROR(INDEX(海运报价!$C$2:$C$2000,AGGREGATE(15,6,(ROW(海运报价!$C$2:$C$2000)-ROW(海运报价!$C$2)+1)/((海运报价!$D$2:$D$2000=$BE25)*(海运报价!$E$2:$E$2000=$BF25)),8)),""))</f>
        <v/>
      </c>
      <c r="BW25" s="1">
        <f>IF(OR($BE25="",$BF25=""),"",IFERROR(INDEX(海运报价!$C$2:$C$2000,AGGREGATE(15,6,(ROW(海运报价!$C$2:$C$2000)-ROW(海运报价!$C$2)+1)/((海运报价!$D$2:$D$2000=$BE25)*(海运报价!$E$2:$E$2000=$BF25)),9)),""))</f>
        <v/>
      </c>
      <c r="BX25" s="1">
        <f>IF(OR($BE25="",$BF25=""),"",IFERROR(INDEX(海运报价!$C$2:$C$2000,AGGREGATE(15,6,(ROW(海运报价!$C$2:$C$2000)-ROW(海运报价!$C$2)+1)/((海运报价!$D$2:$D$2000=$BE25)*(海运报价!$E$2:$E$2000=$BF25)),10)),""))</f>
        <v/>
      </c>
      <c r="BY25" s="1">
        <f>IF(OR($BE25="",$BF25=""),"",IFERROR(INDEX(海运报价!$C$2:$C$2000,AGGREGATE(15,6,(ROW(海运报价!$C$2:$C$2000)-ROW(海运报价!$C$2)+1)/((海运报价!$D$2:$D$2000=$BE25)*(海运报价!$E$2:$E$2000=$BF25)),11)),""))</f>
        <v/>
      </c>
      <c r="BZ25" s="1">
        <f>IF(OR($BE25="",$BF25=""),"",IFERROR(INDEX(海运报价!$C$2:$C$2000,AGGREGATE(15,6,(ROW(海运报价!$C$2:$C$2000)-ROW(海运报价!$C$2)+1)/((海运报价!$D$2:$D$2000=$BE25)*(海运报价!$E$2:$E$2000=$BF25)),12)),""))</f>
        <v/>
      </c>
      <c r="CA25" s="1">
        <f>IF(OR($BE25="",$BF25=""),"",IFERROR(INDEX(海运报价!$C$2:$C$2000,AGGREGATE(15,6,(ROW(海运报价!$C$2:$C$2000)-ROW(海运报价!$C$2)+1)/((海运报价!$D$2:$D$2000=$BE25)*(海运报价!$E$2:$E$2000=$BF25)),13)),""))</f>
        <v/>
      </c>
      <c r="CB25" s="1">
        <f>IF(OR($BE25="",$BF25=""),"",IFERROR(INDEX(海运报价!$C$2:$C$2000,AGGREGATE(15,6,(ROW(海运报价!$C$2:$C$2000)-ROW(海运报价!$C$2)+1)/((海运报价!$D$2:$D$2000=$BE25)*(海运报价!$E$2:$E$2000=$BF25)),14)),""))</f>
        <v/>
      </c>
      <c r="CC25" s="1">
        <f>IF(OR($BE25="",$BF25=""),"",IFERROR(INDEX(海运报价!$C$2:$C$2000,AGGREGATE(15,6,(ROW(海运报价!$C$2:$C$2000)-ROW(海运报价!$C$2)+1)/((海运报价!$D$2:$D$2000=$BE25)*(海运报价!$E$2:$E$2000=$BF25)),15)),""))</f>
        <v/>
      </c>
      <c r="CD25" s="1">
        <f>IF(OR(X25="",M25=""),"",X25+IF(OR(AA25="",M25=""),0,AA25/M25)+IF(AB25="",0,AB25)+IF(AI25="",0,AI25)+IF(Z25="",0,Z25))</f>
        <v/>
      </c>
      <c r="CE25" s="1">
        <f>I25+J25+K25+L25+AG25</f>
        <v/>
      </c>
    </row>
    <row r="26">
      <c r="D26" s="144" t="n"/>
      <c r="F26" s="119" t="n"/>
      <c r="G26" s="119" t="n"/>
      <c r="H26" s="119" t="n"/>
      <c r="I26" s="142" t="n"/>
      <c r="J26" s="142" t="n"/>
      <c r="K26" s="142" t="n"/>
      <c r="L26" s="142" t="n"/>
      <c r="M26" s="114" t="n"/>
      <c r="N26" s="114" t="n"/>
      <c r="O26" s="145" t="n"/>
      <c r="P26" s="145" t="n"/>
      <c r="Q26" s="145" t="n"/>
      <c r="R26" s="174" t="n"/>
      <c r="S26" s="174" t="n"/>
      <c r="T26" s="174" t="n"/>
      <c r="U26" s="114" t="n"/>
      <c r="V26" s="115" t="n"/>
      <c r="W26" s="114" t="n"/>
      <c r="X26" s="119" t="n"/>
      <c r="Y26" s="142" t="n"/>
      <c r="Z26" s="119" t="n"/>
      <c r="AA26" s="115" t="n"/>
      <c r="AB26" s="119" t="n"/>
      <c r="AC26" s="119" t="n"/>
      <c r="AD26" s="119" t="n"/>
      <c r="AE26" s="119" t="n"/>
      <c r="AF26" s="119" t="n"/>
      <c r="AG26" s="142" t="n"/>
      <c r="AH26" s="119" t="n"/>
      <c r="AI26" s="119" t="n"/>
      <c r="AJ26" s="119" t="n"/>
      <c r="AK26" s="119" t="n"/>
      <c r="AL26" s="119" t="n"/>
      <c r="AM26" s="142" t="n"/>
      <c r="AN26" s="142" t="n"/>
      <c r="AO26" s="119" t="n"/>
      <c r="AP26" s="115" t="n"/>
      <c r="AQ26" s="119" t="n"/>
      <c r="AR26" s="119" t="n"/>
      <c r="AS26" s="119" t="n"/>
      <c r="AT26" s="119" t="n"/>
      <c r="AU26" s="119" t="n"/>
      <c r="AV26" s="142" t="n"/>
      <c r="AW26" s="119" t="n"/>
      <c r="AX26" s="119" t="n"/>
      <c r="AY26" s="119" t="n"/>
      <c r="AZ26" s="119" t="n"/>
      <c r="BA26" s="119" t="n"/>
      <c r="BB26" s="142" t="n"/>
      <c r="BC26" s="119" t="n"/>
      <c r="BD26" s="142" t="n"/>
      <c r="BI26" s="114" t="n"/>
      <c r="BJ26" s="114" t="n"/>
      <c r="BK26" s="115" t="n"/>
      <c r="BL26" s="115" t="n"/>
    </row>
    <row r="27">
      <c r="D27" s="144" t="n"/>
      <c r="F27" s="119" t="n"/>
      <c r="G27" s="119" t="n"/>
      <c r="H27" s="119" t="n"/>
      <c r="I27" s="142" t="n"/>
      <c r="J27" s="142" t="n"/>
      <c r="K27" s="142" t="n"/>
      <c r="L27" s="142" t="n"/>
      <c r="M27" s="114" t="n"/>
      <c r="N27" s="114" t="n"/>
      <c r="O27" s="145" t="n"/>
      <c r="P27" s="145" t="n"/>
      <c r="Q27" s="145" t="n"/>
      <c r="R27" s="174" t="n"/>
      <c r="S27" s="174" t="n"/>
      <c r="T27" s="174" t="n"/>
      <c r="U27" s="114" t="n"/>
      <c r="V27" s="115" t="n"/>
      <c r="W27" s="114" t="n"/>
      <c r="X27" s="119" t="n"/>
      <c r="Y27" s="142" t="n"/>
      <c r="Z27" s="119" t="n"/>
      <c r="AA27" s="115" t="n"/>
      <c r="AB27" s="119" t="n"/>
      <c r="AC27" s="119" t="n"/>
      <c r="AD27" s="119" t="n"/>
      <c r="AE27" s="119" t="n"/>
      <c r="AF27" s="119" t="n"/>
      <c r="AG27" s="142" t="n"/>
      <c r="AH27" s="119" t="n"/>
      <c r="AI27" s="119" t="n"/>
      <c r="AJ27" s="119" t="n"/>
      <c r="AK27" s="119" t="n"/>
      <c r="AL27" s="119" t="n"/>
      <c r="AM27" s="142" t="n"/>
      <c r="AN27" s="142" t="n"/>
      <c r="AO27" s="119" t="n"/>
      <c r="AP27" s="115" t="n"/>
      <c r="AQ27" s="119" t="n"/>
      <c r="AR27" s="119" t="n"/>
      <c r="AS27" s="119" t="n"/>
      <c r="AT27" s="119" t="n"/>
      <c r="AU27" s="119" t="n"/>
      <c r="AV27" s="142" t="n"/>
      <c r="AW27" s="119" t="n"/>
      <c r="AX27" s="119" t="n"/>
      <c r="AY27" s="119" t="n"/>
      <c r="AZ27" s="119" t="n"/>
      <c r="BA27" s="119" t="n"/>
      <c r="BB27" s="142" t="n"/>
      <c r="BC27" s="119" t="n"/>
      <c r="BD27" s="142" t="n"/>
      <c r="BI27" s="114" t="n"/>
      <c r="BJ27" s="114" t="n"/>
      <c r="BK27" s="115" t="n"/>
      <c r="BL27" s="115" t="n"/>
    </row>
    <row r="28">
      <c r="D28" s="144" t="n"/>
      <c r="F28" s="119" t="n"/>
      <c r="G28" s="119" t="n"/>
      <c r="H28" s="119" t="n"/>
      <c r="I28" s="142" t="n"/>
      <c r="J28" s="142" t="n"/>
      <c r="K28" s="142" t="n"/>
      <c r="L28" s="142" t="n"/>
      <c r="M28" s="114" t="n"/>
      <c r="N28" s="114" t="n"/>
      <c r="O28" s="145" t="n"/>
      <c r="P28" s="145" t="n"/>
      <c r="Q28" s="145" t="n"/>
      <c r="R28" s="174" t="n"/>
      <c r="S28" s="174" t="n"/>
      <c r="T28" s="174" t="n"/>
      <c r="U28" s="114" t="n"/>
      <c r="V28" s="115" t="n"/>
      <c r="W28" s="114" t="n"/>
      <c r="X28" s="119" t="n"/>
      <c r="Y28" s="142" t="n"/>
      <c r="Z28" s="119" t="n"/>
      <c r="AA28" s="115" t="n"/>
      <c r="AB28" s="119" t="n"/>
      <c r="AC28" s="119" t="n"/>
      <c r="AD28" s="119" t="n"/>
      <c r="AE28" s="119" t="n"/>
      <c r="AF28" s="119" t="n"/>
      <c r="AG28" s="142" t="n"/>
      <c r="AH28" s="119" t="n"/>
      <c r="AI28" s="119" t="n"/>
      <c r="AJ28" s="119" t="n"/>
      <c r="AK28" s="119" t="n"/>
      <c r="AL28" s="119" t="n"/>
      <c r="AM28" s="142" t="n"/>
      <c r="AN28" s="142" t="n"/>
      <c r="AO28" s="119" t="n"/>
      <c r="AP28" s="115" t="n"/>
      <c r="AQ28" s="119" t="n"/>
      <c r="AR28" s="119" t="n"/>
      <c r="AS28" s="119" t="n"/>
      <c r="AT28" s="119" t="n"/>
      <c r="AU28" s="119" t="n"/>
      <c r="AV28" s="142" t="n"/>
      <c r="AW28" s="119" t="n"/>
      <c r="AX28" s="119" t="n"/>
      <c r="AY28" s="119" t="n"/>
      <c r="AZ28" s="119" t="n"/>
      <c r="BA28" s="119" t="n"/>
      <c r="BB28" s="142" t="n"/>
      <c r="BC28" s="119" t="n"/>
      <c r="BD28" s="142" t="n"/>
      <c r="BI28" s="114" t="n"/>
      <c r="BJ28" s="114" t="n"/>
      <c r="BK28" s="115" t="n"/>
      <c r="BL28" s="115" t="n"/>
    </row>
    <row r="29">
      <c r="D29" s="144" t="n"/>
      <c r="F29" s="119" t="n"/>
      <c r="G29" s="119" t="n"/>
      <c r="H29" s="119" t="n"/>
      <c r="I29" s="142" t="n"/>
      <c r="J29" s="142" t="n"/>
      <c r="K29" s="142" t="n"/>
      <c r="L29" s="142" t="n"/>
      <c r="M29" s="114" t="n"/>
      <c r="N29" s="114" t="n"/>
      <c r="O29" s="145" t="n"/>
      <c r="P29" s="145" t="n"/>
      <c r="Q29" s="145" t="n"/>
      <c r="R29" s="174" t="n"/>
      <c r="S29" s="174" t="n"/>
      <c r="T29" s="174" t="n"/>
      <c r="U29" s="114" t="n"/>
      <c r="V29" s="115" t="n"/>
      <c r="W29" s="114" t="n"/>
      <c r="X29" s="119" t="n"/>
      <c r="Y29" s="142" t="n"/>
      <c r="Z29" s="119" t="n"/>
      <c r="AA29" s="115" t="n"/>
      <c r="AB29" s="119" t="n"/>
      <c r="AC29" s="119" t="n"/>
      <c r="AD29" s="119" t="n"/>
      <c r="AE29" s="119" t="n"/>
      <c r="AF29" s="119" t="n"/>
      <c r="AG29" s="142" t="n"/>
      <c r="AH29" s="119" t="n"/>
      <c r="AI29" s="119" t="n"/>
      <c r="AJ29" s="119" t="n"/>
      <c r="AK29" s="119" t="n"/>
      <c r="AL29" s="119" t="n"/>
      <c r="AM29" s="142" t="n"/>
      <c r="AN29" s="142" t="n"/>
      <c r="AO29" s="119" t="n"/>
      <c r="AP29" s="115" t="n"/>
      <c r="AQ29" s="119" t="n"/>
      <c r="AR29" s="119" t="n"/>
      <c r="AS29" s="119" t="n"/>
      <c r="AT29" s="119" t="n"/>
      <c r="AU29" s="119" t="n"/>
      <c r="AV29" s="142" t="n"/>
      <c r="AW29" s="119" t="n"/>
      <c r="AX29" s="119" t="n"/>
      <c r="AY29" s="119" t="n"/>
      <c r="AZ29" s="119" t="n"/>
      <c r="BA29" s="119" t="n"/>
      <c r="BB29" s="142" t="n"/>
      <c r="BC29" s="119" t="n"/>
      <c r="BD29" s="142" t="n"/>
      <c r="BI29" s="114" t="n"/>
      <c r="BJ29" s="114" t="n"/>
      <c r="BK29" s="115" t="n"/>
      <c r="BL29" s="115" t="n"/>
    </row>
    <row r="30">
      <c r="D30" s="144" t="n"/>
      <c r="F30" s="119" t="n"/>
      <c r="G30" s="119" t="n"/>
      <c r="H30" s="119" t="n"/>
      <c r="I30" s="142" t="n"/>
      <c r="J30" s="142" t="n"/>
      <c r="K30" s="142" t="n"/>
      <c r="L30" s="142" t="n"/>
      <c r="M30" s="114" t="n"/>
      <c r="N30" s="114" t="n"/>
      <c r="O30" s="145" t="n"/>
      <c r="P30" s="145" t="n"/>
      <c r="Q30" s="145" t="n"/>
      <c r="R30" s="174" t="n"/>
      <c r="S30" s="174" t="n"/>
      <c r="T30" s="174" t="n"/>
      <c r="U30" s="114" t="n"/>
      <c r="V30" s="115" t="n"/>
      <c r="W30" s="114" t="n"/>
      <c r="X30" s="119" t="n"/>
      <c r="Y30" s="142" t="n"/>
      <c r="Z30" s="119" t="n"/>
      <c r="AA30" s="115" t="n"/>
      <c r="AB30" s="119" t="n"/>
      <c r="AC30" s="119" t="n"/>
      <c r="AD30" s="119" t="n"/>
      <c r="AE30" s="119" t="n"/>
      <c r="AF30" s="119" t="n"/>
      <c r="AG30" s="142" t="n"/>
      <c r="AH30" s="119" t="n"/>
      <c r="AI30" s="119" t="n"/>
      <c r="AJ30" s="119" t="n"/>
      <c r="AK30" s="119" t="n"/>
      <c r="AL30" s="119" t="n"/>
      <c r="AM30" s="142" t="n"/>
      <c r="AN30" s="142" t="n"/>
      <c r="AO30" s="119" t="n"/>
      <c r="AP30" s="115" t="n"/>
      <c r="AQ30" s="119" t="n"/>
      <c r="AR30" s="119" t="n"/>
      <c r="AS30" s="119" t="n"/>
      <c r="AT30" s="119" t="n"/>
      <c r="AU30" s="119" t="n"/>
      <c r="AV30" s="142" t="n"/>
      <c r="AW30" s="119" t="n"/>
      <c r="AX30" s="119" t="n"/>
      <c r="AY30" s="119" t="n"/>
      <c r="AZ30" s="119" t="n"/>
      <c r="BA30" s="119" t="n"/>
      <c r="BB30" s="142" t="n"/>
      <c r="BC30" s="119" t="n"/>
      <c r="BD30" s="142" t="n"/>
      <c r="BI30" s="114" t="n"/>
      <c r="BJ30" s="114" t="n"/>
      <c r="BK30" s="115" t="n"/>
      <c r="BL30" s="115" t="n"/>
    </row>
    <row r="31">
      <c r="D31" s="144" t="n"/>
      <c r="F31" s="119" t="n"/>
      <c r="G31" s="119" t="n"/>
      <c r="H31" s="119" t="n"/>
      <c r="I31" s="142" t="n"/>
      <c r="J31" s="142" t="n"/>
      <c r="K31" s="142" t="n"/>
      <c r="L31" s="142" t="n"/>
      <c r="M31" s="114" t="n"/>
      <c r="N31" s="114" t="n"/>
      <c r="O31" s="145" t="n"/>
      <c r="P31" s="145" t="n"/>
      <c r="Q31" s="145" t="n"/>
      <c r="R31" s="174" t="n"/>
      <c r="S31" s="174" t="n"/>
      <c r="T31" s="174" t="n"/>
      <c r="U31" s="114" t="n"/>
      <c r="V31" s="115" t="n"/>
      <c r="W31" s="114" t="n"/>
      <c r="X31" s="119" t="n"/>
      <c r="Y31" s="142" t="n"/>
      <c r="Z31" s="119" t="n"/>
      <c r="AA31" s="115" t="n"/>
      <c r="AB31" s="119" t="n"/>
      <c r="AC31" s="119" t="n"/>
      <c r="AD31" s="119" t="n"/>
      <c r="AE31" s="119" t="n"/>
      <c r="AF31" s="119" t="n"/>
      <c r="AG31" s="142" t="n"/>
      <c r="AH31" s="119" t="n"/>
      <c r="AI31" s="119" t="n"/>
      <c r="AJ31" s="119" t="n"/>
      <c r="AK31" s="119" t="n"/>
      <c r="AL31" s="119" t="n"/>
      <c r="AM31" s="142" t="n"/>
      <c r="AN31" s="142" t="n"/>
      <c r="AO31" s="119" t="n"/>
      <c r="AP31" s="115" t="n"/>
      <c r="AQ31" s="119" t="n"/>
      <c r="AR31" s="119" t="n"/>
      <c r="AS31" s="119" t="n"/>
      <c r="AT31" s="119" t="n"/>
      <c r="AU31" s="119" t="n"/>
      <c r="AV31" s="142" t="n"/>
      <c r="AW31" s="119" t="n"/>
      <c r="AX31" s="119" t="n"/>
      <c r="AY31" s="119" t="n"/>
      <c r="AZ31" s="119" t="n"/>
      <c r="BA31" s="119" t="n"/>
      <c r="BB31" s="142" t="n"/>
      <c r="BC31" s="119" t="n"/>
      <c r="BD31" s="142" t="n"/>
      <c r="BI31" s="114" t="n"/>
      <c r="BJ31" s="114" t="n"/>
      <c r="BK31" s="115" t="n"/>
      <c r="BL31" s="115" t="n"/>
    </row>
    <row r="32">
      <c r="D32" s="144" t="n"/>
      <c r="F32" s="119" t="n"/>
      <c r="G32" s="119" t="n"/>
      <c r="H32" s="119" t="n"/>
      <c r="I32" s="142" t="n"/>
      <c r="J32" s="142" t="n"/>
      <c r="K32" s="142" t="n"/>
      <c r="L32" s="142" t="n"/>
      <c r="M32" s="114" t="n"/>
      <c r="N32" s="114" t="n"/>
      <c r="O32" s="145" t="n"/>
      <c r="P32" s="145" t="n"/>
      <c r="Q32" s="145" t="n"/>
      <c r="R32" s="174" t="n"/>
      <c r="S32" s="174" t="n"/>
      <c r="T32" s="174" t="n"/>
      <c r="U32" s="114" t="n"/>
      <c r="V32" s="115" t="n"/>
      <c r="W32" s="114" t="n"/>
      <c r="X32" s="119" t="n"/>
      <c r="Y32" s="142" t="n"/>
      <c r="Z32" s="119" t="n"/>
      <c r="AA32" s="115" t="n"/>
      <c r="AB32" s="119" t="n"/>
      <c r="AC32" s="119" t="n"/>
      <c r="AD32" s="119" t="n"/>
      <c r="AE32" s="119" t="n"/>
      <c r="AF32" s="119" t="n"/>
      <c r="AG32" s="142" t="n"/>
      <c r="AH32" s="119" t="n"/>
      <c r="AI32" s="119" t="n"/>
      <c r="AJ32" s="119" t="n"/>
      <c r="AK32" s="119" t="n"/>
      <c r="AL32" s="119" t="n"/>
      <c r="AM32" s="142" t="n"/>
      <c r="AN32" s="142" t="n"/>
      <c r="AO32" s="119" t="n"/>
      <c r="AP32" s="115" t="n"/>
      <c r="AQ32" s="119" t="n"/>
      <c r="AR32" s="119" t="n"/>
      <c r="AS32" s="119" t="n"/>
      <c r="AT32" s="119" t="n"/>
      <c r="AU32" s="119" t="n"/>
      <c r="AV32" s="142" t="n"/>
      <c r="AW32" s="119" t="n"/>
      <c r="AX32" s="119" t="n"/>
      <c r="AY32" s="119" t="n"/>
      <c r="AZ32" s="119" t="n"/>
      <c r="BA32" s="119" t="n"/>
      <c r="BB32" s="142" t="n"/>
      <c r="BC32" s="119" t="n"/>
      <c r="BD32" s="142" t="n"/>
      <c r="BI32" s="114" t="n"/>
      <c r="BJ32" s="114" t="n"/>
      <c r="BK32" s="115" t="n"/>
      <c r="BL32" s="115" t="n"/>
    </row>
    <row r="33">
      <c r="D33" s="144" t="n"/>
      <c r="F33" s="119" t="n"/>
      <c r="G33" s="119" t="n"/>
      <c r="H33" s="119" t="n"/>
      <c r="I33" s="142" t="n"/>
      <c r="J33" s="142" t="n"/>
      <c r="K33" s="142" t="n"/>
      <c r="L33" s="142" t="n"/>
      <c r="M33" s="114" t="n"/>
      <c r="N33" s="114" t="n"/>
      <c r="O33" s="145" t="n"/>
      <c r="P33" s="145" t="n"/>
      <c r="Q33" s="145" t="n"/>
      <c r="R33" s="174" t="n"/>
      <c r="S33" s="174" t="n"/>
      <c r="T33" s="174" t="n"/>
      <c r="U33" s="114" t="n"/>
      <c r="V33" s="115" t="n"/>
      <c r="W33" s="114" t="n"/>
      <c r="X33" s="119" t="n"/>
      <c r="Y33" s="142" t="n"/>
      <c r="Z33" s="119" t="n"/>
      <c r="AA33" s="115" t="n"/>
      <c r="AB33" s="119" t="n"/>
      <c r="AC33" s="119" t="n"/>
      <c r="AD33" s="119" t="n"/>
      <c r="AE33" s="119" t="n"/>
      <c r="AF33" s="119" t="n"/>
      <c r="AG33" s="142" t="n"/>
      <c r="AH33" s="119" t="n"/>
      <c r="AI33" s="119" t="n"/>
      <c r="AJ33" s="119" t="n"/>
      <c r="AK33" s="119" t="n"/>
      <c r="AL33" s="119" t="n"/>
      <c r="AM33" s="142" t="n"/>
      <c r="AN33" s="142" t="n"/>
      <c r="AO33" s="119" t="n"/>
      <c r="AP33" s="115" t="n"/>
      <c r="AQ33" s="119" t="n"/>
      <c r="AR33" s="119" t="n"/>
      <c r="AS33" s="119" t="n"/>
      <c r="AT33" s="119" t="n"/>
      <c r="AU33" s="119" t="n"/>
      <c r="AV33" s="142" t="n"/>
      <c r="AW33" s="119" t="n"/>
      <c r="AX33" s="119" t="n"/>
      <c r="AY33" s="119" t="n"/>
      <c r="AZ33" s="119" t="n"/>
      <c r="BA33" s="119" t="n"/>
      <c r="BB33" s="142" t="n"/>
      <c r="BC33" s="119" t="n"/>
      <c r="BD33" s="142" t="n"/>
      <c r="BI33" s="114" t="n"/>
      <c r="BJ33" s="114" t="n"/>
      <c r="BK33" s="115" t="n"/>
      <c r="BL33" s="115" t="n"/>
    </row>
    <row r="34">
      <c r="D34" s="144" t="n"/>
      <c r="F34" s="119" t="n"/>
      <c r="G34" s="119" t="n"/>
      <c r="H34" s="119" t="n"/>
      <c r="I34" s="142" t="n"/>
      <c r="J34" s="142" t="n"/>
      <c r="K34" s="142" t="n"/>
      <c r="L34" s="142" t="n"/>
      <c r="M34" s="114" t="n"/>
      <c r="N34" s="114" t="n"/>
      <c r="O34" s="145" t="n"/>
      <c r="P34" s="145" t="n"/>
      <c r="Q34" s="145" t="n"/>
      <c r="R34" s="174" t="n"/>
      <c r="S34" s="174" t="n"/>
      <c r="T34" s="174" t="n"/>
      <c r="U34" s="114" t="n"/>
      <c r="V34" s="115" t="n"/>
      <c r="W34" s="114" t="n"/>
      <c r="X34" s="119" t="n"/>
      <c r="Y34" s="142" t="n"/>
      <c r="Z34" s="119" t="n"/>
      <c r="AA34" s="115" t="n"/>
      <c r="AB34" s="119" t="n"/>
      <c r="AC34" s="119" t="n"/>
      <c r="AD34" s="119" t="n"/>
      <c r="AE34" s="119" t="n"/>
      <c r="AF34" s="119" t="n"/>
      <c r="AG34" s="142" t="n"/>
      <c r="AH34" s="119" t="n"/>
      <c r="AI34" s="119" t="n"/>
      <c r="AJ34" s="119" t="n"/>
      <c r="AK34" s="119" t="n"/>
      <c r="AL34" s="119" t="n"/>
      <c r="AM34" s="142" t="n"/>
      <c r="AN34" s="142" t="n"/>
      <c r="AO34" s="119" t="n"/>
      <c r="AP34" s="115" t="n"/>
      <c r="AQ34" s="119" t="n"/>
      <c r="AR34" s="119" t="n"/>
      <c r="AS34" s="119" t="n"/>
      <c r="AT34" s="119" t="n"/>
      <c r="AU34" s="119" t="n"/>
      <c r="AV34" s="142" t="n"/>
      <c r="AW34" s="119" t="n"/>
      <c r="AX34" s="119" t="n"/>
      <c r="AY34" s="119" t="n"/>
      <c r="AZ34" s="119" t="n"/>
      <c r="BA34" s="119" t="n"/>
      <c r="BB34" s="142" t="n"/>
      <c r="BC34" s="119" t="n"/>
      <c r="BD34" s="142" t="n"/>
      <c r="BI34" s="114" t="n"/>
      <c r="BJ34" s="114" t="n"/>
      <c r="BK34" s="115" t="n"/>
      <c r="BL34" s="115" t="n"/>
    </row>
    <row r="35">
      <c r="D35" s="144" t="n"/>
      <c r="F35" s="119" t="n"/>
      <c r="G35" s="119" t="n"/>
      <c r="H35" s="119" t="n"/>
      <c r="I35" s="142" t="n"/>
      <c r="J35" s="142" t="n"/>
      <c r="K35" s="142" t="n"/>
      <c r="L35" s="142" t="n"/>
      <c r="M35" s="114" t="n"/>
      <c r="N35" s="114" t="n"/>
      <c r="O35" s="145" t="n"/>
      <c r="P35" s="145" t="n"/>
      <c r="Q35" s="145" t="n"/>
      <c r="R35" s="174" t="n"/>
      <c r="S35" s="174" t="n"/>
      <c r="T35" s="174" t="n"/>
      <c r="U35" s="114" t="n"/>
      <c r="V35" s="115" t="n"/>
      <c r="W35" s="114" t="n"/>
      <c r="X35" s="119" t="n"/>
      <c r="Y35" s="142" t="n"/>
      <c r="Z35" s="119" t="n"/>
      <c r="AA35" s="115" t="n"/>
      <c r="AB35" s="119" t="n"/>
      <c r="AC35" s="119" t="n"/>
      <c r="AD35" s="119" t="n"/>
      <c r="AE35" s="119" t="n"/>
      <c r="AF35" s="119" t="n"/>
      <c r="AG35" s="142" t="n"/>
      <c r="AH35" s="119" t="n"/>
      <c r="AI35" s="119" t="n"/>
      <c r="AJ35" s="119" t="n"/>
      <c r="AK35" s="119" t="n"/>
      <c r="AL35" s="119" t="n"/>
      <c r="AM35" s="142" t="n"/>
      <c r="AN35" s="142" t="n"/>
      <c r="AO35" s="119" t="n"/>
      <c r="AP35" s="115" t="n"/>
      <c r="AQ35" s="119" t="n"/>
      <c r="AR35" s="119" t="n"/>
      <c r="AS35" s="119" t="n"/>
      <c r="AT35" s="119" t="n"/>
      <c r="AU35" s="119" t="n"/>
      <c r="AV35" s="142" t="n"/>
      <c r="AW35" s="119" t="n"/>
      <c r="AX35" s="119" t="n"/>
      <c r="AY35" s="119" t="n"/>
      <c r="AZ35" s="119" t="n"/>
      <c r="BA35" s="119" t="n"/>
      <c r="BB35" s="142" t="n"/>
      <c r="BC35" s="119" t="n"/>
      <c r="BD35" s="142" t="n"/>
      <c r="BI35" s="114" t="n"/>
      <c r="BJ35" s="114" t="n"/>
      <c r="BK35" s="115" t="n"/>
      <c r="BL35" s="115" t="n"/>
    </row>
    <row r="36">
      <c r="D36" s="144" t="n"/>
      <c r="F36" s="119" t="n"/>
      <c r="G36" s="119" t="n"/>
      <c r="H36" s="119" t="n"/>
      <c r="I36" s="142" t="n"/>
      <c r="J36" s="142" t="n"/>
      <c r="K36" s="142" t="n"/>
      <c r="L36" s="142" t="n"/>
      <c r="M36" s="114" t="n"/>
      <c r="N36" s="114" t="n"/>
      <c r="O36" s="145" t="n"/>
      <c r="P36" s="145" t="n"/>
      <c r="Q36" s="145" t="n"/>
      <c r="R36" s="174" t="n"/>
      <c r="S36" s="174" t="n"/>
      <c r="T36" s="174" t="n"/>
      <c r="U36" s="114" t="n"/>
      <c r="V36" s="115" t="n"/>
      <c r="W36" s="114" t="n"/>
      <c r="X36" s="119" t="n"/>
      <c r="Y36" s="142" t="n"/>
      <c r="Z36" s="119" t="n"/>
      <c r="AA36" s="115" t="n"/>
      <c r="AB36" s="119" t="n"/>
      <c r="AC36" s="119" t="n"/>
      <c r="AD36" s="119" t="n"/>
      <c r="AE36" s="119" t="n"/>
      <c r="AF36" s="119" t="n"/>
      <c r="AG36" s="142" t="n"/>
      <c r="AH36" s="119" t="n"/>
      <c r="AI36" s="119" t="n"/>
      <c r="AJ36" s="119" t="n"/>
      <c r="AK36" s="119" t="n"/>
      <c r="AL36" s="119" t="n"/>
      <c r="AM36" s="142" t="n"/>
      <c r="AN36" s="142" t="n"/>
      <c r="AO36" s="119" t="n"/>
      <c r="AP36" s="115" t="n"/>
      <c r="AQ36" s="119" t="n"/>
      <c r="AR36" s="119" t="n"/>
      <c r="AS36" s="119" t="n"/>
      <c r="AT36" s="119" t="n"/>
      <c r="AU36" s="119" t="n"/>
      <c r="AV36" s="142" t="n"/>
      <c r="AW36" s="119" t="n"/>
      <c r="AX36" s="119" t="n"/>
      <c r="AY36" s="119" t="n"/>
      <c r="AZ36" s="119" t="n"/>
      <c r="BA36" s="119" t="n"/>
      <c r="BB36" s="142" t="n"/>
      <c r="BC36" s="119" t="n"/>
      <c r="BD36" s="142" t="n"/>
      <c r="BI36" s="114" t="n"/>
      <c r="BJ36" s="114" t="n"/>
      <c r="BK36" s="115" t="n"/>
      <c r="BL36" s="115" t="n"/>
    </row>
    <row r="37">
      <c r="D37" s="144" t="n"/>
      <c r="F37" s="119" t="n"/>
      <c r="G37" s="119" t="n"/>
      <c r="H37" s="119" t="n"/>
      <c r="I37" s="142" t="n"/>
      <c r="J37" s="142" t="n"/>
      <c r="K37" s="142" t="n"/>
      <c r="L37" s="142" t="n"/>
      <c r="M37" s="114" t="n"/>
      <c r="N37" s="114" t="n"/>
      <c r="O37" s="145" t="n"/>
      <c r="P37" s="145" t="n"/>
      <c r="Q37" s="145" t="n"/>
      <c r="R37" s="174" t="n"/>
      <c r="S37" s="174" t="n"/>
      <c r="T37" s="174" t="n"/>
      <c r="U37" s="114" t="n"/>
      <c r="V37" s="115" t="n"/>
      <c r="W37" s="114" t="n"/>
      <c r="X37" s="119" t="n"/>
      <c r="Y37" s="142" t="n"/>
      <c r="Z37" s="119" t="n"/>
      <c r="AA37" s="115" t="n"/>
      <c r="AB37" s="119" t="n"/>
      <c r="AC37" s="119" t="n"/>
      <c r="AD37" s="119" t="n"/>
      <c r="AE37" s="119" t="n"/>
      <c r="AF37" s="119" t="n"/>
      <c r="AG37" s="142" t="n"/>
      <c r="AH37" s="119" t="n"/>
      <c r="AI37" s="119" t="n"/>
      <c r="AJ37" s="119" t="n"/>
      <c r="AK37" s="119" t="n"/>
      <c r="AL37" s="119" t="n"/>
      <c r="AM37" s="142" t="n"/>
      <c r="AN37" s="142" t="n"/>
      <c r="AO37" s="119" t="n"/>
      <c r="AP37" s="115" t="n"/>
      <c r="AQ37" s="119" t="n"/>
      <c r="AR37" s="119" t="n"/>
      <c r="AS37" s="119" t="n"/>
      <c r="AT37" s="119" t="n"/>
      <c r="AU37" s="119" t="n"/>
      <c r="AV37" s="142" t="n"/>
      <c r="AW37" s="119" t="n"/>
      <c r="AX37" s="119" t="n"/>
      <c r="AY37" s="119" t="n"/>
      <c r="AZ37" s="119" t="n"/>
      <c r="BA37" s="119" t="n"/>
      <c r="BB37" s="142" t="n"/>
      <c r="BC37" s="119" t="n"/>
      <c r="BD37" s="142" t="n"/>
      <c r="BI37" s="114" t="n"/>
      <c r="BJ37" s="114" t="n"/>
      <c r="BK37" s="115" t="n"/>
      <c r="BL37" s="115" t="n"/>
    </row>
    <row r="38">
      <c r="D38" s="144" t="n"/>
      <c r="F38" s="119" t="n"/>
      <c r="G38" s="119" t="n"/>
      <c r="H38" s="119" t="n"/>
      <c r="I38" s="142" t="n"/>
      <c r="J38" s="142" t="n"/>
      <c r="K38" s="142" t="n"/>
      <c r="L38" s="142" t="n"/>
      <c r="M38" s="114" t="n"/>
      <c r="N38" s="114" t="n"/>
      <c r="O38" s="145" t="n"/>
      <c r="P38" s="145" t="n"/>
      <c r="Q38" s="145" t="n"/>
      <c r="R38" s="174" t="n"/>
      <c r="S38" s="174" t="n"/>
      <c r="T38" s="174" t="n"/>
      <c r="U38" s="114" t="n"/>
      <c r="V38" s="115" t="n"/>
      <c r="W38" s="114" t="n"/>
      <c r="X38" s="119" t="n"/>
      <c r="Y38" s="142" t="n"/>
      <c r="Z38" s="119" t="n"/>
      <c r="AA38" s="115" t="n"/>
      <c r="AB38" s="119" t="n"/>
      <c r="AC38" s="119" t="n"/>
      <c r="AD38" s="119" t="n"/>
      <c r="AE38" s="119" t="n"/>
      <c r="AF38" s="119" t="n"/>
      <c r="AG38" s="142" t="n"/>
      <c r="AH38" s="119" t="n"/>
      <c r="AI38" s="119" t="n"/>
      <c r="AJ38" s="119" t="n"/>
      <c r="AK38" s="119" t="n"/>
      <c r="AL38" s="119" t="n"/>
      <c r="AM38" s="142" t="n"/>
      <c r="AN38" s="142" t="n"/>
      <c r="AO38" s="119" t="n"/>
      <c r="AP38" s="115" t="n"/>
      <c r="AQ38" s="119" t="n"/>
      <c r="AR38" s="119" t="n"/>
      <c r="AS38" s="119" t="n"/>
      <c r="AT38" s="119" t="n"/>
      <c r="AU38" s="119" t="n"/>
      <c r="AV38" s="142" t="n"/>
      <c r="AW38" s="119" t="n"/>
      <c r="AX38" s="119" t="n"/>
      <c r="AY38" s="119" t="n"/>
      <c r="AZ38" s="119" t="n"/>
      <c r="BA38" s="119" t="n"/>
      <c r="BB38" s="142" t="n"/>
      <c r="BC38" s="119" t="n"/>
      <c r="BD38" s="142" t="n"/>
      <c r="BI38" s="114" t="n"/>
      <c r="BJ38" s="114" t="n"/>
      <c r="BK38" s="115" t="n"/>
      <c r="BL38" s="115" t="n"/>
    </row>
    <row r="39">
      <c r="D39" s="144" t="n"/>
      <c r="F39" s="119" t="n"/>
      <c r="G39" s="119" t="n"/>
      <c r="H39" s="119" t="n"/>
      <c r="I39" s="142" t="n"/>
      <c r="J39" s="142" t="n"/>
      <c r="K39" s="142" t="n"/>
      <c r="L39" s="142" t="n"/>
      <c r="M39" s="114" t="n"/>
      <c r="N39" s="114" t="n"/>
      <c r="O39" s="145" t="n"/>
      <c r="P39" s="145" t="n"/>
      <c r="Q39" s="145" t="n"/>
      <c r="R39" s="174" t="n"/>
      <c r="S39" s="174" t="n"/>
      <c r="T39" s="174" t="n"/>
      <c r="U39" s="114" t="n"/>
      <c r="V39" s="115" t="n"/>
      <c r="W39" s="114" t="n"/>
      <c r="X39" s="119" t="n"/>
      <c r="Y39" s="142" t="n"/>
      <c r="Z39" s="119" t="n"/>
      <c r="AA39" s="115" t="n"/>
      <c r="AB39" s="119" t="n"/>
      <c r="AC39" s="119" t="n"/>
      <c r="AD39" s="119" t="n"/>
      <c r="AE39" s="119" t="n"/>
      <c r="AF39" s="119" t="n"/>
      <c r="AG39" s="142" t="n"/>
      <c r="AH39" s="119" t="n"/>
      <c r="AI39" s="119" t="n"/>
      <c r="AJ39" s="119" t="n"/>
      <c r="AK39" s="119" t="n"/>
      <c r="AL39" s="119" t="n"/>
      <c r="AM39" s="142" t="n"/>
      <c r="AN39" s="142" t="n"/>
      <c r="AO39" s="119" t="n"/>
      <c r="AP39" s="115" t="n"/>
      <c r="AQ39" s="119" t="n"/>
      <c r="AR39" s="119" t="n"/>
      <c r="AS39" s="119" t="n"/>
      <c r="AT39" s="119" t="n"/>
      <c r="AU39" s="119" t="n"/>
      <c r="AV39" s="142" t="n"/>
      <c r="AW39" s="119" t="n"/>
      <c r="AX39" s="119" t="n"/>
      <c r="AY39" s="119" t="n"/>
      <c r="AZ39" s="119" t="n"/>
      <c r="BA39" s="119" t="n"/>
      <c r="BB39" s="142" t="n"/>
      <c r="BC39" s="119" t="n"/>
      <c r="BD39" s="142" t="n"/>
      <c r="BI39" s="114" t="n"/>
      <c r="BJ39" s="114" t="n"/>
      <c r="BK39" s="115" t="n"/>
      <c r="BL39" s="115" t="n"/>
    </row>
    <row r="40">
      <c r="D40" s="144" t="n"/>
      <c r="F40" s="119" t="n"/>
      <c r="G40" s="119" t="n"/>
      <c r="H40" s="119" t="n"/>
      <c r="I40" s="142" t="n"/>
      <c r="J40" s="142" t="n"/>
      <c r="K40" s="142" t="n"/>
      <c r="L40" s="142" t="n"/>
      <c r="M40" s="114" t="n"/>
      <c r="N40" s="114" t="n"/>
      <c r="O40" s="145" t="n"/>
      <c r="P40" s="145" t="n"/>
      <c r="Q40" s="145" t="n"/>
      <c r="R40" s="174" t="n"/>
      <c r="S40" s="174" t="n"/>
      <c r="T40" s="174" t="n"/>
      <c r="U40" s="114" t="n"/>
      <c r="V40" s="115" t="n"/>
      <c r="W40" s="114" t="n"/>
      <c r="X40" s="119" t="n"/>
      <c r="Y40" s="142" t="n"/>
      <c r="Z40" s="119" t="n"/>
      <c r="AA40" s="115" t="n"/>
      <c r="AB40" s="119" t="n"/>
      <c r="AC40" s="119" t="n"/>
      <c r="AD40" s="119" t="n"/>
      <c r="AE40" s="119" t="n"/>
      <c r="AF40" s="119" t="n"/>
      <c r="AG40" s="142" t="n"/>
      <c r="AH40" s="119" t="n"/>
      <c r="AI40" s="119" t="n"/>
      <c r="AJ40" s="119" t="n"/>
      <c r="AK40" s="119" t="n"/>
      <c r="AL40" s="119" t="n"/>
      <c r="AM40" s="142" t="n"/>
      <c r="AN40" s="142" t="n"/>
      <c r="AO40" s="119" t="n"/>
      <c r="AP40" s="115" t="n"/>
      <c r="AQ40" s="119" t="n"/>
      <c r="AR40" s="119" t="n"/>
      <c r="AS40" s="119" t="n"/>
      <c r="AT40" s="119" t="n"/>
      <c r="AU40" s="119" t="n"/>
      <c r="AV40" s="142" t="n"/>
      <c r="AW40" s="119" t="n"/>
      <c r="AX40" s="119" t="n"/>
      <c r="AY40" s="119" t="n"/>
      <c r="AZ40" s="119" t="n"/>
      <c r="BA40" s="119" t="n"/>
      <c r="BB40" s="142" t="n"/>
      <c r="BC40" s="119" t="n"/>
      <c r="BD40" s="142" t="n"/>
      <c r="BI40" s="114" t="n"/>
      <c r="BJ40" s="114" t="n"/>
      <c r="BK40" s="115" t="n"/>
      <c r="BL40" s="115" t="n"/>
    </row>
    <row r="41">
      <c r="D41" s="144" t="n"/>
      <c r="F41" s="119" t="n"/>
      <c r="G41" s="119" t="n"/>
      <c r="H41" s="119" t="n"/>
      <c r="I41" s="142" t="n"/>
      <c r="J41" s="142" t="n"/>
      <c r="K41" s="142" t="n"/>
      <c r="L41" s="142" t="n"/>
      <c r="M41" s="114" t="n"/>
      <c r="N41" s="114" t="n"/>
      <c r="O41" s="145" t="n"/>
      <c r="P41" s="145" t="n"/>
      <c r="Q41" s="145" t="n"/>
      <c r="R41" s="174" t="n"/>
      <c r="S41" s="174" t="n"/>
      <c r="T41" s="174" t="n"/>
      <c r="U41" s="114" t="n"/>
      <c r="V41" s="115" t="n"/>
      <c r="W41" s="114" t="n"/>
      <c r="X41" s="119" t="n"/>
      <c r="Y41" s="142" t="n"/>
      <c r="Z41" s="119" t="n"/>
      <c r="AA41" s="115" t="n"/>
      <c r="AB41" s="119" t="n"/>
      <c r="AC41" s="119" t="n"/>
      <c r="AD41" s="119" t="n"/>
      <c r="AE41" s="119" t="n"/>
      <c r="AF41" s="119" t="n"/>
      <c r="AG41" s="142" t="n"/>
      <c r="AH41" s="119" t="n"/>
      <c r="AI41" s="119" t="n"/>
      <c r="AJ41" s="119" t="n"/>
      <c r="AK41" s="119" t="n"/>
      <c r="AL41" s="119" t="n"/>
      <c r="AM41" s="142" t="n"/>
      <c r="AN41" s="142" t="n"/>
      <c r="AO41" s="119" t="n"/>
      <c r="AP41" s="115" t="n"/>
      <c r="AQ41" s="119" t="n"/>
      <c r="AR41" s="119" t="n"/>
      <c r="AS41" s="119" t="n"/>
      <c r="AT41" s="119" t="n"/>
      <c r="AU41" s="119" t="n"/>
      <c r="AV41" s="142" t="n"/>
      <c r="AW41" s="119" t="n"/>
      <c r="AX41" s="119" t="n"/>
      <c r="AY41" s="119" t="n"/>
      <c r="AZ41" s="119" t="n"/>
      <c r="BA41" s="119" t="n"/>
      <c r="BB41" s="142" t="n"/>
      <c r="BC41" s="119" t="n"/>
      <c r="BD41" s="142" t="n"/>
      <c r="BI41" s="114" t="n"/>
      <c r="BJ41" s="114" t="n"/>
      <c r="BK41" s="115" t="n"/>
      <c r="BL41" s="115" t="n"/>
    </row>
    <row r="42">
      <c r="D42" s="144" t="n"/>
      <c r="F42" s="119" t="n"/>
      <c r="G42" s="119" t="n"/>
      <c r="H42" s="119" t="n"/>
      <c r="I42" s="142" t="n"/>
      <c r="J42" s="142" t="n"/>
      <c r="K42" s="142" t="n"/>
      <c r="L42" s="142" t="n"/>
      <c r="M42" s="114" t="n"/>
      <c r="N42" s="114" t="n"/>
      <c r="O42" s="145" t="n"/>
      <c r="P42" s="145" t="n"/>
      <c r="Q42" s="145" t="n"/>
      <c r="R42" s="174" t="n"/>
      <c r="S42" s="174" t="n"/>
      <c r="T42" s="174" t="n"/>
      <c r="U42" s="114" t="n"/>
      <c r="V42" s="115" t="n"/>
      <c r="W42" s="114" t="n"/>
      <c r="X42" s="119" t="n"/>
      <c r="Y42" s="142" t="n"/>
      <c r="Z42" s="119" t="n"/>
      <c r="AA42" s="115" t="n"/>
      <c r="AB42" s="119" t="n"/>
      <c r="AC42" s="119" t="n"/>
      <c r="AD42" s="119" t="n"/>
      <c r="AE42" s="119" t="n"/>
      <c r="AF42" s="119" t="n"/>
      <c r="AG42" s="142" t="n"/>
      <c r="AH42" s="119" t="n"/>
      <c r="AI42" s="119" t="n"/>
      <c r="AJ42" s="119" t="n"/>
      <c r="AK42" s="119" t="n"/>
      <c r="AL42" s="119" t="n"/>
      <c r="AM42" s="142" t="n"/>
      <c r="AN42" s="142" t="n"/>
      <c r="AO42" s="119" t="n"/>
      <c r="AP42" s="115" t="n"/>
      <c r="AQ42" s="119" t="n"/>
      <c r="AR42" s="119" t="n"/>
      <c r="AS42" s="119" t="n"/>
      <c r="AT42" s="119" t="n"/>
      <c r="AU42" s="119" t="n"/>
      <c r="AV42" s="142" t="n"/>
      <c r="AW42" s="119" t="n"/>
      <c r="AX42" s="119" t="n"/>
      <c r="AY42" s="119" t="n"/>
      <c r="AZ42" s="119" t="n"/>
      <c r="BA42" s="119" t="n"/>
      <c r="BB42" s="142" t="n"/>
      <c r="BC42" s="119" t="n"/>
      <c r="BD42" s="142" t="n"/>
      <c r="BI42" s="114" t="n"/>
      <c r="BJ42" s="114" t="n"/>
      <c r="BK42" s="115" t="n"/>
      <c r="BL42" s="115" t="n"/>
    </row>
    <row r="43">
      <c r="D43" s="144" t="n"/>
      <c r="F43" s="119" t="n"/>
      <c r="G43" s="119" t="n"/>
      <c r="H43" s="119" t="n"/>
      <c r="I43" s="142" t="n"/>
      <c r="J43" s="142" t="n"/>
      <c r="K43" s="142" t="n"/>
      <c r="L43" s="142" t="n"/>
      <c r="M43" s="114" t="n"/>
      <c r="N43" s="114" t="n"/>
      <c r="O43" s="145" t="n"/>
      <c r="P43" s="145" t="n"/>
      <c r="Q43" s="145" t="n"/>
      <c r="R43" s="174" t="n"/>
      <c r="S43" s="174" t="n"/>
      <c r="T43" s="174" t="n"/>
      <c r="U43" s="114" t="n"/>
      <c r="V43" s="115" t="n"/>
      <c r="W43" s="114" t="n"/>
      <c r="X43" s="119" t="n"/>
      <c r="Y43" s="142" t="n"/>
      <c r="Z43" s="119" t="n"/>
      <c r="AA43" s="115" t="n"/>
      <c r="AB43" s="119" t="n"/>
      <c r="AC43" s="119" t="n"/>
      <c r="AD43" s="119" t="n"/>
      <c r="AE43" s="119" t="n"/>
      <c r="AF43" s="119" t="n"/>
      <c r="AG43" s="142" t="n"/>
      <c r="AH43" s="119" t="n"/>
      <c r="AI43" s="119" t="n"/>
      <c r="AJ43" s="119" t="n"/>
      <c r="AK43" s="119" t="n"/>
      <c r="AL43" s="119" t="n"/>
      <c r="AM43" s="142" t="n"/>
      <c r="AN43" s="142" t="n"/>
      <c r="AO43" s="119" t="n"/>
      <c r="AP43" s="115" t="n"/>
      <c r="AQ43" s="119" t="n"/>
      <c r="AR43" s="119" t="n"/>
      <c r="AS43" s="119" t="n"/>
      <c r="AT43" s="119" t="n"/>
      <c r="AU43" s="119" t="n"/>
      <c r="AV43" s="142" t="n"/>
      <c r="AW43" s="119" t="n"/>
      <c r="AX43" s="119" t="n"/>
      <c r="AY43" s="119" t="n"/>
      <c r="AZ43" s="119" t="n"/>
      <c r="BA43" s="119" t="n"/>
      <c r="BB43" s="142" t="n"/>
      <c r="BC43" s="119" t="n"/>
      <c r="BD43" s="142" t="n"/>
      <c r="BI43" s="114" t="n"/>
      <c r="BJ43" s="114" t="n"/>
      <c r="BK43" s="115" t="n"/>
      <c r="BL43" s="115" t="n"/>
    </row>
    <row r="44">
      <c r="D44" s="144" t="n"/>
      <c r="F44" s="119" t="n"/>
      <c r="G44" s="119" t="n"/>
      <c r="H44" s="119" t="n"/>
      <c r="I44" s="142" t="n"/>
      <c r="J44" s="142" t="n"/>
      <c r="K44" s="142" t="n"/>
      <c r="L44" s="142" t="n"/>
      <c r="M44" s="114" t="n"/>
      <c r="N44" s="114" t="n"/>
      <c r="O44" s="145" t="n"/>
      <c r="P44" s="145" t="n"/>
      <c r="Q44" s="145" t="n"/>
      <c r="R44" s="174" t="n"/>
      <c r="S44" s="174" t="n"/>
      <c r="T44" s="174" t="n"/>
      <c r="U44" s="114" t="n"/>
      <c r="V44" s="115" t="n"/>
      <c r="W44" s="114" t="n"/>
      <c r="X44" s="119" t="n"/>
      <c r="Y44" s="142" t="n"/>
      <c r="Z44" s="119" t="n"/>
      <c r="AA44" s="115" t="n"/>
      <c r="AB44" s="119" t="n"/>
      <c r="AC44" s="119" t="n"/>
      <c r="AD44" s="119" t="n"/>
      <c r="AE44" s="119" t="n"/>
      <c r="AF44" s="119" t="n"/>
      <c r="AG44" s="142" t="n"/>
      <c r="AH44" s="119" t="n"/>
      <c r="AI44" s="119" t="n"/>
      <c r="AJ44" s="119" t="n"/>
      <c r="AK44" s="119" t="n"/>
      <c r="AL44" s="119" t="n"/>
      <c r="AM44" s="142" t="n"/>
      <c r="AN44" s="142" t="n"/>
      <c r="AO44" s="119" t="n"/>
      <c r="AP44" s="115" t="n"/>
      <c r="AQ44" s="119" t="n"/>
      <c r="AR44" s="119" t="n"/>
      <c r="AS44" s="119" t="n"/>
      <c r="AT44" s="119" t="n"/>
      <c r="AU44" s="119" t="n"/>
      <c r="AV44" s="142" t="n"/>
      <c r="AW44" s="119" t="n"/>
      <c r="AX44" s="119" t="n"/>
      <c r="AY44" s="119" t="n"/>
      <c r="AZ44" s="119" t="n"/>
      <c r="BA44" s="119" t="n"/>
      <c r="BB44" s="142" t="n"/>
      <c r="BC44" s="119" t="n"/>
      <c r="BD44" s="142" t="n"/>
      <c r="BI44" s="114" t="n"/>
      <c r="BJ44" s="114" t="n"/>
      <c r="BK44" s="115" t="n"/>
      <c r="BL44" s="115" t="n"/>
    </row>
    <row r="45">
      <c r="D45" s="144" t="n"/>
      <c r="F45" s="119" t="n"/>
      <c r="G45" s="119" t="n"/>
      <c r="H45" s="119" t="n"/>
      <c r="I45" s="142" t="n"/>
      <c r="J45" s="142" t="n"/>
      <c r="K45" s="142" t="n"/>
      <c r="L45" s="142" t="n"/>
      <c r="M45" s="114" t="n"/>
      <c r="N45" s="114" t="n"/>
      <c r="O45" s="145" t="n"/>
      <c r="P45" s="145" t="n"/>
      <c r="Q45" s="145" t="n"/>
      <c r="R45" s="174" t="n"/>
      <c r="S45" s="174" t="n"/>
      <c r="T45" s="174" t="n"/>
      <c r="U45" s="114" t="n"/>
      <c r="V45" s="115" t="n"/>
      <c r="W45" s="114" t="n"/>
      <c r="X45" s="119" t="n"/>
      <c r="Y45" s="142" t="n"/>
      <c r="Z45" s="119" t="n"/>
      <c r="AA45" s="115" t="n"/>
      <c r="AB45" s="119" t="n"/>
      <c r="AC45" s="119" t="n"/>
      <c r="AD45" s="119" t="n"/>
      <c r="AE45" s="119" t="n"/>
      <c r="AF45" s="119" t="n"/>
      <c r="AG45" s="142" t="n"/>
      <c r="AH45" s="119" t="n"/>
      <c r="AI45" s="119" t="n"/>
      <c r="AJ45" s="119" t="n"/>
      <c r="AK45" s="119" t="n"/>
      <c r="AL45" s="119" t="n"/>
      <c r="AM45" s="142" t="n"/>
      <c r="AN45" s="142" t="n"/>
      <c r="AO45" s="119" t="n"/>
      <c r="AP45" s="115" t="n"/>
      <c r="AQ45" s="119" t="n"/>
      <c r="AR45" s="119" t="n"/>
      <c r="AS45" s="119" t="n"/>
      <c r="AT45" s="119" t="n"/>
      <c r="AU45" s="119" t="n"/>
      <c r="AV45" s="142" t="n"/>
      <c r="AW45" s="119" t="n"/>
      <c r="AX45" s="119" t="n"/>
      <c r="AY45" s="119" t="n"/>
      <c r="AZ45" s="119" t="n"/>
      <c r="BA45" s="119" t="n"/>
      <c r="BB45" s="142" t="n"/>
      <c r="BC45" s="119" t="n"/>
      <c r="BD45" s="142" t="n"/>
      <c r="BI45" s="114" t="n"/>
      <c r="BJ45" s="114" t="n"/>
      <c r="BK45" s="115" t="n"/>
      <c r="BL45" s="115" t="n"/>
    </row>
    <row r="46">
      <c r="D46" s="144" t="n"/>
      <c r="F46" s="119" t="n"/>
      <c r="G46" s="119" t="n"/>
      <c r="H46" s="119" t="n"/>
      <c r="I46" s="142" t="n"/>
      <c r="J46" s="142" t="n"/>
      <c r="K46" s="142" t="n"/>
      <c r="L46" s="142" t="n"/>
      <c r="M46" s="114" t="n"/>
      <c r="N46" s="114" t="n"/>
      <c r="O46" s="145" t="n"/>
      <c r="P46" s="145" t="n"/>
      <c r="Q46" s="145" t="n"/>
      <c r="R46" s="174" t="n"/>
      <c r="S46" s="174" t="n"/>
      <c r="T46" s="174" t="n"/>
      <c r="U46" s="114" t="n"/>
      <c r="V46" s="115" t="n"/>
      <c r="W46" s="114" t="n"/>
      <c r="X46" s="119" t="n"/>
      <c r="Y46" s="142" t="n"/>
      <c r="Z46" s="119" t="n"/>
      <c r="AA46" s="115" t="n"/>
      <c r="AB46" s="119" t="n"/>
      <c r="AC46" s="119" t="n"/>
      <c r="AD46" s="119" t="n"/>
      <c r="AE46" s="119" t="n"/>
      <c r="AF46" s="119" t="n"/>
      <c r="AG46" s="142" t="n"/>
      <c r="AH46" s="119" t="n"/>
      <c r="AI46" s="119" t="n"/>
      <c r="AJ46" s="119" t="n"/>
      <c r="AK46" s="119" t="n"/>
      <c r="AL46" s="119" t="n"/>
      <c r="AM46" s="142" t="n"/>
      <c r="AN46" s="142" t="n"/>
      <c r="AO46" s="119" t="n"/>
      <c r="AP46" s="115" t="n"/>
      <c r="AQ46" s="119" t="n"/>
      <c r="AR46" s="119" t="n"/>
      <c r="AS46" s="119" t="n"/>
      <c r="AT46" s="119" t="n"/>
      <c r="AU46" s="119" t="n"/>
      <c r="AV46" s="142" t="n"/>
      <c r="AW46" s="119" t="n"/>
      <c r="AX46" s="119" t="n"/>
      <c r="AY46" s="119" t="n"/>
      <c r="AZ46" s="119" t="n"/>
      <c r="BA46" s="119" t="n"/>
      <c r="BB46" s="142" t="n"/>
      <c r="BC46" s="119" t="n"/>
      <c r="BD46" s="142" t="n"/>
      <c r="BI46" s="114" t="n"/>
      <c r="BJ46" s="114" t="n"/>
      <c r="BK46" s="115" t="n"/>
      <c r="BL46" s="115" t="n"/>
    </row>
    <row r="47">
      <c r="D47" s="144" t="n"/>
      <c r="F47" s="119" t="n"/>
      <c r="G47" s="119" t="n"/>
      <c r="H47" s="119" t="n"/>
      <c r="I47" s="142" t="n"/>
      <c r="J47" s="142" t="n"/>
      <c r="K47" s="142" t="n"/>
      <c r="L47" s="142" t="n"/>
      <c r="M47" s="114" t="n"/>
      <c r="N47" s="114" t="n"/>
      <c r="O47" s="145" t="n"/>
      <c r="P47" s="145" t="n"/>
      <c r="Q47" s="145" t="n"/>
      <c r="R47" s="174" t="n"/>
      <c r="S47" s="174" t="n"/>
      <c r="T47" s="174" t="n"/>
      <c r="U47" s="114" t="n"/>
      <c r="V47" s="115" t="n"/>
      <c r="W47" s="114" t="n"/>
      <c r="X47" s="119" t="n"/>
      <c r="Y47" s="142" t="n"/>
      <c r="Z47" s="119" t="n"/>
      <c r="AA47" s="115" t="n"/>
      <c r="AB47" s="119" t="n"/>
      <c r="AC47" s="119" t="n"/>
      <c r="AD47" s="119" t="n"/>
      <c r="AE47" s="119" t="n"/>
      <c r="AF47" s="119" t="n"/>
      <c r="AG47" s="142" t="n"/>
      <c r="AH47" s="119" t="n"/>
      <c r="AI47" s="119" t="n"/>
      <c r="AJ47" s="119" t="n"/>
      <c r="AK47" s="119" t="n"/>
      <c r="AL47" s="119" t="n"/>
      <c r="AM47" s="142" t="n"/>
      <c r="AN47" s="142" t="n"/>
      <c r="AO47" s="119" t="n"/>
      <c r="AP47" s="115" t="n"/>
      <c r="AQ47" s="119" t="n"/>
      <c r="AR47" s="119" t="n"/>
      <c r="AS47" s="119" t="n"/>
      <c r="AT47" s="119" t="n"/>
      <c r="AU47" s="119" t="n"/>
      <c r="AV47" s="142" t="n"/>
      <c r="AW47" s="119" t="n"/>
      <c r="AX47" s="119" t="n"/>
      <c r="AY47" s="119" t="n"/>
      <c r="AZ47" s="119" t="n"/>
      <c r="BA47" s="119" t="n"/>
      <c r="BB47" s="142" t="n"/>
      <c r="BC47" s="119" t="n"/>
      <c r="BD47" s="142" t="n"/>
      <c r="BI47" s="114" t="n"/>
      <c r="BJ47" s="114" t="n"/>
      <c r="BK47" s="115" t="n"/>
      <c r="BL47" s="115" t="n"/>
    </row>
    <row r="48">
      <c r="D48" s="144" t="n"/>
      <c r="F48" s="119" t="n"/>
      <c r="G48" s="119" t="n"/>
      <c r="H48" s="119" t="n"/>
      <c r="I48" s="142" t="n"/>
      <c r="J48" s="142" t="n"/>
      <c r="K48" s="142" t="n"/>
      <c r="L48" s="142" t="n"/>
      <c r="M48" s="114" t="n"/>
      <c r="N48" s="114" t="n"/>
      <c r="O48" s="145" t="n"/>
      <c r="P48" s="145" t="n"/>
      <c r="Q48" s="145" t="n"/>
      <c r="R48" s="174" t="n"/>
      <c r="S48" s="174" t="n"/>
      <c r="T48" s="174" t="n"/>
      <c r="U48" s="114" t="n"/>
      <c r="V48" s="115" t="n"/>
      <c r="W48" s="114" t="n"/>
      <c r="X48" s="119" t="n"/>
      <c r="Y48" s="142" t="n"/>
      <c r="Z48" s="119" t="n"/>
      <c r="AA48" s="115" t="n"/>
      <c r="AB48" s="119" t="n"/>
      <c r="AC48" s="119" t="n"/>
      <c r="AD48" s="119" t="n"/>
      <c r="AE48" s="119" t="n"/>
      <c r="AF48" s="119" t="n"/>
      <c r="AG48" s="142" t="n"/>
      <c r="AH48" s="119" t="n"/>
      <c r="AI48" s="119" t="n"/>
      <c r="AJ48" s="119" t="n"/>
      <c r="AK48" s="119" t="n"/>
      <c r="AL48" s="119" t="n"/>
      <c r="AM48" s="142" t="n"/>
      <c r="AN48" s="142" t="n"/>
      <c r="AO48" s="119" t="n"/>
      <c r="AP48" s="115" t="n"/>
      <c r="AQ48" s="119" t="n"/>
      <c r="AR48" s="119" t="n"/>
      <c r="AS48" s="119" t="n"/>
      <c r="AT48" s="119" t="n"/>
      <c r="AU48" s="119" t="n"/>
      <c r="AV48" s="142" t="n"/>
      <c r="AW48" s="119" t="n"/>
      <c r="AX48" s="119" t="n"/>
      <c r="AY48" s="119" t="n"/>
      <c r="AZ48" s="119" t="n"/>
      <c r="BA48" s="119" t="n"/>
      <c r="BB48" s="142" t="n"/>
      <c r="BC48" s="119" t="n"/>
      <c r="BD48" s="142" t="n"/>
      <c r="BI48" s="114" t="n"/>
      <c r="BJ48" s="114" t="n"/>
      <c r="BK48" s="115" t="n"/>
      <c r="BL48" s="115" t="n"/>
    </row>
    <row r="49">
      <c r="D49" s="144" t="n"/>
      <c r="F49" s="119" t="n"/>
      <c r="G49" s="119" t="n"/>
      <c r="H49" s="119" t="n"/>
      <c r="I49" s="142" t="n"/>
      <c r="J49" s="142" t="n"/>
      <c r="K49" s="142" t="n"/>
      <c r="L49" s="142" t="n"/>
      <c r="M49" s="114" t="n"/>
      <c r="N49" s="114" t="n"/>
      <c r="O49" s="145" t="n"/>
      <c r="P49" s="145" t="n"/>
      <c r="Q49" s="145" t="n"/>
      <c r="R49" s="174" t="n"/>
      <c r="S49" s="174" t="n"/>
      <c r="T49" s="174" t="n"/>
      <c r="U49" s="114" t="n"/>
      <c r="V49" s="115" t="n"/>
      <c r="W49" s="114" t="n"/>
      <c r="X49" s="119" t="n"/>
      <c r="Y49" s="142" t="n"/>
      <c r="Z49" s="119" t="n"/>
      <c r="AA49" s="115" t="n"/>
      <c r="AB49" s="119" t="n"/>
      <c r="AC49" s="119" t="n"/>
      <c r="AD49" s="119" t="n"/>
      <c r="AE49" s="119" t="n"/>
      <c r="AF49" s="119" t="n"/>
      <c r="AG49" s="142" t="n"/>
      <c r="AH49" s="119" t="n"/>
      <c r="AI49" s="119" t="n"/>
      <c r="AJ49" s="119" t="n"/>
      <c r="AK49" s="119" t="n"/>
      <c r="AL49" s="119" t="n"/>
      <c r="AM49" s="142" t="n"/>
      <c r="AN49" s="142" t="n"/>
      <c r="AO49" s="119" t="n"/>
      <c r="AP49" s="115" t="n"/>
      <c r="AQ49" s="119" t="n"/>
      <c r="AR49" s="119" t="n"/>
      <c r="AS49" s="119" t="n"/>
      <c r="AT49" s="119" t="n"/>
      <c r="AU49" s="119" t="n"/>
      <c r="AV49" s="142" t="n"/>
      <c r="AW49" s="119" t="n"/>
      <c r="AX49" s="119" t="n"/>
      <c r="AY49" s="119" t="n"/>
      <c r="AZ49" s="119" t="n"/>
      <c r="BA49" s="119" t="n"/>
      <c r="BB49" s="142" t="n"/>
      <c r="BC49" s="119" t="n"/>
      <c r="BD49" s="142" t="n"/>
      <c r="BI49" s="114" t="n"/>
      <c r="BJ49" s="114" t="n"/>
      <c r="BK49" s="115" t="n"/>
      <c r="BL49" s="115" t="n"/>
    </row>
    <row r="50">
      <c r="D50" s="144" t="n"/>
      <c r="F50" s="119" t="n"/>
      <c r="G50" s="119" t="n"/>
      <c r="H50" s="119" t="n"/>
      <c r="I50" s="142" t="n"/>
      <c r="J50" s="142" t="n"/>
      <c r="K50" s="142" t="n"/>
      <c r="L50" s="142" t="n"/>
      <c r="M50" s="114" t="n"/>
      <c r="N50" s="114" t="n"/>
      <c r="O50" s="145" t="n"/>
      <c r="P50" s="145" t="n"/>
      <c r="Q50" s="145" t="n"/>
      <c r="R50" s="174" t="n"/>
      <c r="S50" s="174" t="n"/>
      <c r="T50" s="174" t="n"/>
      <c r="U50" s="114" t="n"/>
      <c r="V50" s="115" t="n"/>
      <c r="W50" s="114" t="n"/>
      <c r="X50" s="119" t="n"/>
      <c r="Y50" s="142" t="n"/>
      <c r="Z50" s="119" t="n"/>
      <c r="AA50" s="115" t="n"/>
      <c r="AB50" s="119" t="n"/>
      <c r="AC50" s="119" t="n"/>
      <c r="AD50" s="119" t="n"/>
      <c r="AE50" s="119" t="n"/>
      <c r="AF50" s="119" t="n"/>
      <c r="AG50" s="142" t="n"/>
      <c r="AH50" s="119" t="n"/>
      <c r="AI50" s="119" t="n"/>
      <c r="AJ50" s="119" t="n"/>
      <c r="AK50" s="119" t="n"/>
      <c r="AL50" s="119" t="n"/>
      <c r="AM50" s="142" t="n"/>
      <c r="AN50" s="142" t="n"/>
      <c r="AO50" s="119" t="n"/>
      <c r="AP50" s="115" t="n"/>
      <c r="AQ50" s="119" t="n"/>
      <c r="AR50" s="119" t="n"/>
      <c r="AS50" s="119" t="n"/>
      <c r="AT50" s="119" t="n"/>
      <c r="AU50" s="119" t="n"/>
      <c r="AV50" s="142" t="n"/>
      <c r="AW50" s="119" t="n"/>
      <c r="AX50" s="119" t="n"/>
      <c r="AY50" s="119" t="n"/>
      <c r="AZ50" s="119" t="n"/>
      <c r="BA50" s="119" t="n"/>
      <c r="BB50" s="142" t="n"/>
      <c r="BC50" s="119" t="n"/>
      <c r="BD50" s="142" t="n"/>
      <c r="BI50" s="114" t="n"/>
      <c r="BJ50" s="114" t="n"/>
      <c r="BK50" s="115" t="n"/>
      <c r="BL50" s="115" t="n"/>
    </row>
  </sheetData>
  <mergeCells count="8">
    <mergeCell ref="U1:X1"/>
    <mergeCell ref="B1:E1"/>
    <mergeCell ref="N1:T1"/>
    <mergeCell ref="G1:H1"/>
    <mergeCell ref="BE1:BL1"/>
    <mergeCell ref="Y1:AM1"/>
    <mergeCell ref="I1:M1"/>
    <mergeCell ref="AN1:BD1"/>
  </mergeCells>
  <dataValidations count="5">
    <dataValidation sqref="C4:C50" showDropDown="0" showInputMessage="0" showErrorMessage="0" allowBlank="1" type="list">
      <formula1>箱规!$A$2:$A$23</formula1>
    </dataValidation>
    <dataValidation sqref="BE4:BE50" showDropDown="0" showInputMessage="1" showErrorMessage="0" allowBlank="1" promptTitle="起运地" prompt="先选起运地" type="list">
      <formula1>海运下拉!$A$2:$A$3</formula1>
    </dataValidation>
    <dataValidation sqref="BF4:BF50" showDropDown="0" showInputMessage="1" showErrorMessage="0" allowBlank="1" promptTitle="FBA仓" prompt="再选FBA仓" type="list">
      <formula1>IF(BE4="青岛",海运下拉!$C$2:$C$117,海运下拉!$B$2:$B$195)</formula1>
    </dataValidation>
    <dataValidation sqref="BG4:BG50" showDropDown="0" showInputMessage="0" showErrorMessage="0" allowBlank="1" type="list">
      <formula1>"海运,陆运,海运+陆运"</formula1>
    </dataValidation>
    <dataValidation sqref="BH4:BH50" showDropDown="0" showInputMessage="1" showErrorMessage="0" allowBlank="1" promptTitle="海运渠道" prompt="默认可选「（最低价）」；或选具体渠道" type="list">
      <formula1>IF(BE4="青岛",海运下拉!$M$2:$M$5,海运下拉!$L$2:$L$33)</formula1>
    </dataValidation>
  </dataValidations>
  <pageMargins left="0.699306" right="0.699306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10" customWidth="1" style="67" min="1" max="1"/>
    <col width="8" customWidth="1" style="67" min="2" max="2"/>
    <col width="6" customWidth="1" style="67" min="3" max="3"/>
    <col width="10" customWidth="1" style="67" min="4" max="4"/>
    <col width="10" customWidth="1" style="67" min="5" max="5"/>
    <col width="12" customWidth="1" style="67" min="6" max="6"/>
    <col width="16" customWidth="1" style="67" min="7" max="7"/>
    <col width="8" customWidth="1" style="67" min="8" max="8"/>
    <col width="10" customWidth="1" style="67" min="9" max="9"/>
    <col width="10" customWidth="1" style="67" min="10" max="10"/>
    <col width="10" customWidth="1" style="67" min="11" max="11"/>
    <col width="10" customWidth="1" style="67" min="12" max="12"/>
    <col width="12" customWidth="1" style="67" min="13" max="13"/>
    <col width="10" customWidth="1" style="67" min="14" max="14"/>
    <col width="10" customWidth="1" style="67" min="15" max="15"/>
    <col width="12" customWidth="1" style="67" min="16" max="16"/>
    <col width="10" customWidth="1" style="67" min="17" max="17"/>
    <col width="8" customWidth="1" style="67" min="18" max="18"/>
  </cols>
  <sheetData>
    <row r="1">
      <c r="A1" s="276" t="inlineStr">
        <is>
          <t>全尺寸利润测算（按一件·尺寸来自箱规）</t>
        </is>
      </c>
    </row>
    <row r="2">
      <c r="A2" s="285" t="inlineStr">
        <is>
          <t>条件：起运地义乌 / FBA仓ABE8 / 渠道（最低价） / 海运；采购19.0元/㎡；汇率6.6838；目标利润率30%；发货日2026-10-27 → 旺季 FBA费率；费率 佣金15%/退款7%/广告15%/提现1%/仓储2%</t>
        </is>
      </c>
    </row>
    <row r="3">
      <c r="A3" s="101" t="inlineStr">
        <is>
          <t>尺寸</t>
        </is>
      </c>
      <c r="B3" s="101" t="inlineStr">
        <is>
          <t>面积㎡</t>
        </is>
      </c>
      <c r="C3" s="101" t="inlineStr">
        <is>
          <t>装数</t>
        </is>
      </c>
      <c r="D3" s="101" t="inlineStr">
        <is>
          <t>单件净重kg</t>
        </is>
      </c>
      <c r="E3" s="101" t="inlineStr">
        <is>
          <t>FBA计费重lb</t>
        </is>
      </c>
      <c r="F3" s="101" t="inlineStr">
        <is>
          <t>FBA分段</t>
        </is>
      </c>
      <c r="G3" s="101" t="inlineStr">
        <is>
          <t>海运渠道(最低)</t>
        </is>
      </c>
      <c r="H3" s="101" t="inlineStr">
        <is>
          <t>海运单价</t>
        </is>
      </c>
      <c r="I3" s="101" t="inlineStr">
        <is>
          <t>采购RMB/件</t>
        </is>
      </c>
      <c r="J3" s="101" t="inlineStr">
        <is>
          <t>采购USD/件</t>
        </is>
      </c>
      <c r="K3" s="101" t="inlineStr">
        <is>
          <t>头程RMB/件</t>
        </is>
      </c>
      <c r="L3" s="101" t="inlineStr">
        <is>
          <t>FBA USD/件</t>
        </is>
      </c>
      <c r="M3" s="101" t="inlineStr">
        <is>
          <t>保本售价USD</t>
        </is>
      </c>
      <c r="N3" s="101" t="inlineStr">
        <is>
          <t>保本利润USD</t>
        </is>
      </c>
      <c r="O3" s="101" t="inlineStr">
        <is>
          <t>保本利润率</t>
        </is>
      </c>
      <c r="P3" s="101" t="inlineStr">
        <is>
          <t>利润售价USD</t>
        </is>
      </c>
      <c r="Q3" s="101" t="inlineStr">
        <is>
          <t>利润USD</t>
        </is>
      </c>
      <c r="R3" s="101" t="inlineStr">
        <is>
          <t>利润率</t>
        </is>
      </c>
    </row>
    <row r="4">
      <c r="A4" s="290" t="inlineStr">
        <is>
          <t>2'3'</t>
        </is>
      </c>
      <c r="B4" s="290" t="n">
        <v>0.5600000000000001</v>
      </c>
      <c r="C4" s="290" t="n">
        <v>16</v>
      </c>
      <c r="D4" s="290" t="n">
        <v>0.64</v>
      </c>
      <c r="E4" s="290" t="n">
        <v>1.41</v>
      </c>
      <c r="F4" s="290" t="inlineStr">
        <is>
          <t>大标准</t>
        </is>
      </c>
      <c r="G4" s="290" t="inlineStr">
        <is>
          <t>Y-A6全美直送专线</t>
        </is>
      </c>
      <c r="H4" s="290" t="n">
        <v>9.18</v>
      </c>
      <c r="I4" s="291" t="n">
        <v>10.64</v>
      </c>
      <c r="J4" s="292" t="n">
        <v>1.59</v>
      </c>
      <c r="K4" s="291" t="n">
        <v>6.56</v>
      </c>
      <c r="L4" s="292" t="n">
        <v>5.68</v>
      </c>
      <c r="M4" s="293" t="n">
        <v>13.46</v>
      </c>
      <c r="N4" s="292" t="n">
        <v>0.0052</v>
      </c>
      <c r="O4" s="294" t="n">
        <v>0.0003850258594713968</v>
      </c>
      <c r="P4" s="295" t="n">
        <v>26.9</v>
      </c>
      <c r="Q4" s="292" t="n">
        <v>8.07</v>
      </c>
      <c r="R4" s="294" t="n">
        <v>0.299969607734888</v>
      </c>
    </row>
    <row r="5">
      <c r="A5" s="290" t="inlineStr">
        <is>
          <t>2'5'</t>
        </is>
      </c>
      <c r="B5" s="290" t="n">
        <v>0.93</v>
      </c>
      <c r="C5" s="290" t="n">
        <v>16</v>
      </c>
      <c r="D5" s="290" t="n">
        <v>1.28</v>
      </c>
      <c r="E5" s="290" t="n">
        <v>2.82</v>
      </c>
      <c r="F5" s="290" t="inlineStr">
        <is>
          <t>大标准</t>
        </is>
      </c>
      <c r="G5" s="290" t="inlineStr">
        <is>
          <t>Y-A6全美直送专线</t>
        </is>
      </c>
      <c r="H5" s="290" t="n">
        <v>9.18</v>
      </c>
      <c r="I5" s="291" t="n">
        <v>17.67</v>
      </c>
      <c r="J5" s="292" t="n">
        <v>2.64</v>
      </c>
      <c r="K5" s="291" t="n">
        <v>12.44</v>
      </c>
      <c r="L5" s="292" t="n">
        <v>7.03</v>
      </c>
      <c r="M5" s="293" t="n">
        <v>18.72</v>
      </c>
      <c r="N5" s="292" t="n">
        <v>0.0014</v>
      </c>
      <c r="O5" s="294" t="n">
        <v>7.23591234362707e-05</v>
      </c>
      <c r="P5" s="295" t="n">
        <v>37.44</v>
      </c>
      <c r="Q5" s="292" t="n">
        <v>11.23</v>
      </c>
      <c r="R5" s="294" t="n">
        <v>0.300036179561718</v>
      </c>
    </row>
    <row r="6">
      <c r="A6" s="290" t="inlineStr">
        <is>
          <t>2'6'</t>
        </is>
      </c>
      <c r="B6" s="290" t="n">
        <v>1.12</v>
      </c>
      <c r="C6" s="290" t="n">
        <v>14</v>
      </c>
      <c r="D6" s="290" t="n">
        <v>1.28</v>
      </c>
      <c r="E6" s="290" t="n">
        <v>3.39</v>
      </c>
      <c r="F6" s="290" t="inlineStr">
        <is>
          <t>大标准</t>
        </is>
      </c>
      <c r="G6" s="290" t="inlineStr">
        <is>
          <t>Y-A6全美直送专线</t>
        </is>
      </c>
      <c r="H6" s="290" t="n">
        <v>9.18</v>
      </c>
      <c r="I6" s="291" t="n">
        <v>21.28</v>
      </c>
      <c r="J6" s="292" t="n">
        <v>3.18</v>
      </c>
      <c r="K6" s="291" t="n">
        <v>12.54</v>
      </c>
      <c r="L6" s="292" t="n">
        <v>7.62</v>
      </c>
      <c r="M6" s="293" t="n">
        <v>20.53</v>
      </c>
      <c r="N6" s="292" t="n">
        <v>0.0047</v>
      </c>
      <c r="O6" s="294" t="n">
        <v>0.0002269875849601212</v>
      </c>
      <c r="P6" s="295" t="n">
        <v>41.04</v>
      </c>
      <c r="Q6" s="292" t="n">
        <v>12.31</v>
      </c>
      <c r="R6" s="294" t="n">
        <v>0.2999673502709364</v>
      </c>
    </row>
    <row r="7">
      <c r="A7" s="290" t="inlineStr">
        <is>
          <t>2'8'</t>
        </is>
      </c>
      <c r="B7" s="290" t="n">
        <v>1.49</v>
      </c>
      <c r="C7" s="290" t="n">
        <v>10</v>
      </c>
      <c r="D7" s="290" t="n">
        <v>1.71</v>
      </c>
      <c r="E7" s="290" t="n">
        <v>4</v>
      </c>
      <c r="F7" s="290" t="inlineStr">
        <is>
          <t>大标准</t>
        </is>
      </c>
      <c r="G7" s="290" t="inlineStr">
        <is>
          <t>Y-A6全美直送专线</t>
        </is>
      </c>
      <c r="H7" s="290" t="n">
        <v>9.18</v>
      </c>
      <c r="I7" s="291" t="n">
        <v>28.31</v>
      </c>
      <c r="J7" s="292" t="n">
        <v>4.24</v>
      </c>
      <c r="K7" s="291" t="n">
        <v>16.8</v>
      </c>
      <c r="L7" s="292" t="n">
        <v>7.78</v>
      </c>
      <c r="M7" s="293" t="n">
        <v>23.41</v>
      </c>
      <c r="N7" s="292" t="n">
        <v>0.0042</v>
      </c>
      <c r="O7" s="294" t="n">
        <v>0.0001782260170719876</v>
      </c>
      <c r="P7" s="295" t="n">
        <v>46.81</v>
      </c>
      <c r="Q7" s="292" t="n">
        <v>14.04</v>
      </c>
      <c r="R7" s="294" t="n">
        <v>0.3000250431758098</v>
      </c>
    </row>
    <row r="8">
      <c r="A8" s="290" t="inlineStr">
        <is>
          <t>2'10'</t>
        </is>
      </c>
      <c r="B8" s="290" t="n">
        <v>1.86</v>
      </c>
      <c r="C8" s="290" t="n">
        <v>9</v>
      </c>
      <c r="D8" s="290" t="n">
        <v>2.1</v>
      </c>
      <c r="E8" s="290" t="n">
        <v>4.63</v>
      </c>
      <c r="F8" s="290" t="inlineStr">
        <is>
          <t>大标准</t>
        </is>
      </c>
      <c r="G8" s="290" t="inlineStr">
        <is>
          <t>Y-A6全美直送专线</t>
        </is>
      </c>
      <c r="H8" s="290" t="n">
        <v>9.18</v>
      </c>
      <c r="I8" s="291" t="n">
        <v>35.34</v>
      </c>
      <c r="J8" s="292" t="n">
        <v>5.29</v>
      </c>
      <c r="K8" s="291" t="n">
        <v>20.5</v>
      </c>
      <c r="L8" s="292" t="n">
        <v>8.02</v>
      </c>
      <c r="M8" s="293" t="n">
        <v>26.28</v>
      </c>
      <c r="N8" s="292" t="n">
        <v>0.0014</v>
      </c>
      <c r="O8" s="294" t="n">
        <v>5.332490409298612e-05</v>
      </c>
      <c r="P8" s="295" t="n">
        <v>52.56</v>
      </c>
      <c r="Q8" s="292" t="n">
        <v>15.77</v>
      </c>
      <c r="R8" s="294" t="n">
        <v>0.3000266624520465</v>
      </c>
    </row>
    <row r="9">
      <c r="A9" s="290" t="inlineStr">
        <is>
          <t>3'5'</t>
        </is>
      </c>
      <c r="B9" s="290" t="n">
        <v>1.38</v>
      </c>
      <c r="C9" s="290" t="n">
        <v>11</v>
      </c>
      <c r="D9" s="290" t="n">
        <v>1.59</v>
      </c>
      <c r="E9" s="290" t="n">
        <v>4.01</v>
      </c>
      <c r="F9" s="290" t="inlineStr">
        <is>
          <t>大标准</t>
        </is>
      </c>
      <c r="G9" s="290" t="inlineStr">
        <is>
          <t>Y-A6全美直送专线</t>
        </is>
      </c>
      <c r="H9" s="290" t="n">
        <v>9.18</v>
      </c>
      <c r="I9" s="291" t="n">
        <v>26.22</v>
      </c>
      <c r="J9" s="292" t="n">
        <v>3.92</v>
      </c>
      <c r="K9" s="291" t="n">
        <v>15.6</v>
      </c>
      <c r="L9" s="292" t="n">
        <v>7.86</v>
      </c>
      <c r="M9" s="293" t="n">
        <v>22.78</v>
      </c>
      <c r="N9" s="292" t="n">
        <v>0.0027</v>
      </c>
      <c r="O9" s="294" t="n">
        <v>0.000118428551674793</v>
      </c>
      <c r="P9" s="295" t="n">
        <v>45.55</v>
      </c>
      <c r="Q9" s="292" t="n">
        <v>13.66</v>
      </c>
      <c r="R9" s="294" t="n">
        <v>0.2999933655852283</v>
      </c>
    </row>
    <row r="10">
      <c r="A10" s="290" t="inlineStr">
        <is>
          <t>4'6'</t>
        </is>
      </c>
      <c r="B10" s="290" t="n">
        <v>2.23</v>
      </c>
      <c r="C10" s="290" t="n">
        <v>7</v>
      </c>
      <c r="D10" s="290" t="n">
        <v>2.75</v>
      </c>
      <c r="E10" s="290" t="n">
        <v>6.06</v>
      </c>
      <c r="F10" s="290" t="inlineStr">
        <is>
          <t>大标准</t>
        </is>
      </c>
      <c r="G10" s="290" t="inlineStr">
        <is>
          <t>Y-A6全美直送专线</t>
        </is>
      </c>
      <c r="H10" s="290" t="n">
        <v>9.18</v>
      </c>
      <c r="I10" s="291" t="n">
        <v>42.37</v>
      </c>
      <c r="J10" s="292" t="n">
        <v>6.34</v>
      </c>
      <c r="K10" s="291" t="n">
        <v>24.9</v>
      </c>
      <c r="L10" s="292" t="n">
        <v>8.5</v>
      </c>
      <c r="M10" s="293" t="n">
        <v>29.73</v>
      </c>
      <c r="N10" s="292" t="n">
        <v>0.002</v>
      </c>
      <c r="O10" s="294" t="n">
        <v>6.674643626378851e-05</v>
      </c>
      <c r="P10" s="295" t="n">
        <v>59.45</v>
      </c>
      <c r="Q10" s="292" t="n">
        <v>17.83</v>
      </c>
      <c r="R10" s="294" t="n">
        <v>0.2999829162582021</v>
      </c>
    </row>
    <row r="11">
      <c r="A11" s="290" t="inlineStr">
        <is>
          <t>5'7'</t>
        </is>
      </c>
      <c r="B11" s="290" t="n">
        <v>3.24</v>
      </c>
      <c r="C11" s="290" t="n">
        <v>4</v>
      </c>
      <c r="D11" s="290" t="n">
        <v>3.72</v>
      </c>
      <c r="E11" s="290" t="n">
        <v>8.220000000000001</v>
      </c>
      <c r="F11" s="290" t="inlineStr">
        <is>
          <t>大标准</t>
        </is>
      </c>
      <c r="G11" s="290" t="inlineStr">
        <is>
          <t>Y-A6全美直送专线</t>
        </is>
      </c>
      <c r="H11" s="290" t="n">
        <v>9.18</v>
      </c>
      <c r="I11" s="291" t="n">
        <v>61.56</v>
      </c>
      <c r="J11" s="292" t="n">
        <v>9.210000000000001</v>
      </c>
      <c r="K11" s="291" t="n">
        <v>36.44</v>
      </c>
      <c r="L11" s="292" t="n">
        <v>9.140000000000001</v>
      </c>
      <c r="M11" s="293" t="n">
        <v>37.91</v>
      </c>
      <c r="N11" s="292" t="n">
        <v>0.0025</v>
      </c>
      <c r="O11" s="294" t="n">
        <v>6.567185297367104e-05</v>
      </c>
      <c r="P11" s="295" t="n">
        <v>75.81</v>
      </c>
      <c r="Q11" s="292" t="n">
        <v>22.74</v>
      </c>
      <c r="R11" s="294" t="n">
        <v>0.2999932676420821</v>
      </c>
    </row>
    <row r="12">
      <c r="A12" s="290" t="inlineStr">
        <is>
          <t>5'8'</t>
        </is>
      </c>
      <c r="B12" s="290" t="n">
        <v>3.71</v>
      </c>
      <c r="C12" s="290" t="n">
        <v>4</v>
      </c>
      <c r="D12" s="290" t="n">
        <v>3.8</v>
      </c>
      <c r="E12" s="290" t="n">
        <v>10.37</v>
      </c>
      <c r="F12" s="290" t="inlineStr">
        <is>
          <t>大标准</t>
        </is>
      </c>
      <c r="G12" s="290" t="inlineStr">
        <is>
          <t>Y-A6全美直送专线</t>
        </is>
      </c>
      <c r="H12" s="290" t="n">
        <v>9.18</v>
      </c>
      <c r="I12" s="291" t="n">
        <v>70.48999999999999</v>
      </c>
      <c r="J12" s="292" t="n">
        <v>10.55</v>
      </c>
      <c r="K12" s="291" t="n">
        <v>37.64</v>
      </c>
      <c r="L12" s="292" t="n">
        <v>9.859999999999999</v>
      </c>
      <c r="M12" s="293" t="n">
        <v>41.38</v>
      </c>
      <c r="N12" s="292" t="n">
        <v>0.0036</v>
      </c>
      <c r="O12" s="294" t="n">
        <v>8.624826496790464e-05</v>
      </c>
      <c r="P12" s="295" t="n">
        <v>82.75</v>
      </c>
      <c r="Q12" s="292" t="n">
        <v>24.83</v>
      </c>
      <c r="R12" s="294" t="n">
        <v>0.3000068755674244</v>
      </c>
    </row>
    <row r="13">
      <c r="A13" s="290" t="inlineStr">
        <is>
          <t>6'9'</t>
        </is>
      </c>
      <c r="B13" s="290" t="n">
        <v>5.01</v>
      </c>
      <c r="C13" s="290" t="n">
        <v>3</v>
      </c>
      <c r="D13" s="290" t="n">
        <v>5.77</v>
      </c>
      <c r="E13" s="290" t="n">
        <v>12.72</v>
      </c>
      <c r="F13" s="290" t="inlineStr">
        <is>
          <t>大件</t>
        </is>
      </c>
      <c r="G13" s="290" t="inlineStr">
        <is>
          <t>Y-A6全美直送专线</t>
        </is>
      </c>
      <c r="H13" s="290" t="n">
        <v>9.18</v>
      </c>
      <c r="I13" s="291" t="n">
        <v>95.19</v>
      </c>
      <c r="J13" s="292" t="n">
        <v>14.24</v>
      </c>
      <c r="K13" s="291" t="n">
        <v>56.95</v>
      </c>
      <c r="L13" s="292" t="n">
        <v>15.21</v>
      </c>
      <c r="M13" s="293" t="n">
        <v>60.56</v>
      </c>
      <c r="N13" s="292" t="n">
        <v>0.0023</v>
      </c>
      <c r="O13" s="294" t="n">
        <v>3.801084671159885e-05</v>
      </c>
      <c r="P13" s="295" t="n">
        <v>121.11</v>
      </c>
      <c r="Q13" s="292" t="n">
        <v>36.33</v>
      </c>
      <c r="R13" s="294" t="n">
        <v>0.2999942361231679</v>
      </c>
    </row>
    <row r="14">
      <c r="A14" s="290" t="inlineStr">
        <is>
          <t>7'9'</t>
        </is>
      </c>
      <c r="B14" s="290" t="n">
        <v>5.84</v>
      </c>
      <c r="C14" s="290" t="n">
        <v>2</v>
      </c>
      <c r="D14" s="290" t="n">
        <v>6.91</v>
      </c>
      <c r="E14" s="290" t="n">
        <v>16.2</v>
      </c>
      <c r="F14" s="290" t="inlineStr">
        <is>
          <t>大件</t>
        </is>
      </c>
      <c r="G14" s="290" t="inlineStr">
        <is>
          <t>Y-A6全美直送专线</t>
        </is>
      </c>
      <c r="H14" s="290" t="n">
        <v>9.18</v>
      </c>
      <c r="I14" s="291" t="n">
        <v>110.96</v>
      </c>
      <c r="J14" s="292" t="n">
        <v>16.6</v>
      </c>
      <c r="K14" s="291" t="n">
        <v>68.53</v>
      </c>
      <c r="L14" s="292" t="n">
        <v>16.73</v>
      </c>
      <c r="M14" s="293" t="n">
        <v>69.45999999999999</v>
      </c>
      <c r="N14" s="292" t="n">
        <v>0.0014</v>
      </c>
      <c r="O14" s="294" t="n">
        <v>2.038150209605252e-05</v>
      </c>
      <c r="P14" s="295" t="n">
        <v>138.92</v>
      </c>
      <c r="Q14" s="292" t="n">
        <v>41.68</v>
      </c>
      <c r="R14" s="294" t="n">
        <v>0.3000101907510481</v>
      </c>
    </row>
    <row r="15">
      <c r="A15" s="290" t="inlineStr">
        <is>
          <t>8'10'</t>
        </is>
      </c>
      <c r="B15" s="290" t="n">
        <v>7.44</v>
      </c>
      <c r="C15" s="290" t="n">
        <v>2</v>
      </c>
      <c r="D15" s="290" t="n">
        <v>8.56</v>
      </c>
      <c r="E15" s="290" t="n">
        <v>18.87</v>
      </c>
      <c r="F15" s="290" t="inlineStr">
        <is>
          <t>大件</t>
        </is>
      </c>
      <c r="G15" s="290" t="inlineStr">
        <is>
          <t>Y-A6全美直送专线</t>
        </is>
      </c>
      <c r="H15" s="290" t="n">
        <v>9.18</v>
      </c>
      <c r="I15" s="291" t="n">
        <v>141.36</v>
      </c>
      <c r="J15" s="292" t="n">
        <v>21.15</v>
      </c>
      <c r="K15" s="291" t="n">
        <v>84.09</v>
      </c>
      <c r="L15" s="292" t="n">
        <v>17.49</v>
      </c>
      <c r="M15" s="293" t="n">
        <v>81.31999999999999</v>
      </c>
      <c r="N15" s="292" t="n">
        <v>0.0043</v>
      </c>
      <c r="O15" s="294" t="n">
        <v>5.267245116732978e-05</v>
      </c>
      <c r="P15" s="295" t="n">
        <v>162.63</v>
      </c>
      <c r="Q15" s="292" t="n">
        <v>48.79</v>
      </c>
      <c r="R15" s="294" t="n">
        <v>0.3000078910639423</v>
      </c>
    </row>
    <row r="16">
      <c r="A16" s="290" t="inlineStr">
        <is>
          <t>9'12'</t>
        </is>
      </c>
      <c r="B16" s="290" t="n">
        <v>10.03</v>
      </c>
      <c r="C16" s="290" t="n">
        <v>1</v>
      </c>
      <c r="D16" s="290" t="n">
        <v>11.53</v>
      </c>
      <c r="E16" s="290" t="n">
        <v>26.85</v>
      </c>
      <c r="F16" s="290" t="inlineStr">
        <is>
          <t>大件</t>
        </is>
      </c>
      <c r="G16" s="290" t="inlineStr">
        <is>
          <t>Y-A6全美直送专线</t>
        </is>
      </c>
      <c r="H16" s="290" t="n">
        <v>9.18</v>
      </c>
      <c r="I16" s="291" t="n">
        <v>190.57</v>
      </c>
      <c r="J16" s="292" t="n">
        <v>28.51</v>
      </c>
      <c r="K16" s="291" t="n">
        <v>115.03</v>
      </c>
      <c r="L16" s="292" t="n">
        <v>20.53</v>
      </c>
      <c r="M16" s="293" t="n">
        <v>104.96</v>
      </c>
      <c r="N16" s="292" t="n">
        <v>0.0041</v>
      </c>
      <c r="O16" s="294" t="n">
        <v>3.859761062985356e-05</v>
      </c>
      <c r="P16" s="295" t="n">
        <v>209.91</v>
      </c>
      <c r="Q16" s="292" t="n">
        <v>62.97</v>
      </c>
      <c r="R16" s="294" t="n">
        <v>0.3000050078853398</v>
      </c>
    </row>
    <row r="17">
      <c r="A17" s="290" t="inlineStr">
        <is>
          <t>Φ4'</t>
        </is>
      </c>
      <c r="B17" s="290" t="n">
        <v>1.13</v>
      </c>
      <c r="C17" s="290" t="n">
        <v>12</v>
      </c>
      <c r="D17" s="290" t="n">
        <v>1.3</v>
      </c>
      <c r="E17" s="290" t="n">
        <v>3.01</v>
      </c>
      <c r="F17" s="290" t="inlineStr">
        <is>
          <t>大标准</t>
        </is>
      </c>
      <c r="G17" s="290" t="inlineStr">
        <is>
          <t>Y-A6全美直送专线</t>
        </is>
      </c>
      <c r="H17" s="290" t="n">
        <v>9.18</v>
      </c>
      <c r="I17" s="291" t="n">
        <v>21.47</v>
      </c>
      <c r="J17" s="292" t="n">
        <v>3.21</v>
      </c>
      <c r="K17" s="291" t="n">
        <v>12.85</v>
      </c>
      <c r="L17" s="292" t="n">
        <v>7.54</v>
      </c>
      <c r="M17" s="293" t="n">
        <v>20.51</v>
      </c>
      <c r="N17" s="292" t="n">
        <v>0.0004</v>
      </c>
      <c r="O17" s="294" t="n">
        <v>2.011373588583344e-05</v>
      </c>
      <c r="P17" s="295" t="n">
        <v>41.02</v>
      </c>
      <c r="Q17" s="292" t="n">
        <v>12.31</v>
      </c>
      <c r="R17" s="294" t="n">
        <v>0.3000100568679429</v>
      </c>
    </row>
    <row r="18">
      <c r="A18" s="290" t="inlineStr">
        <is>
          <t>Φ6'</t>
        </is>
      </c>
      <c r="B18" s="290" t="n">
        <v>2.54</v>
      </c>
      <c r="C18" s="290" t="n">
        <v>6</v>
      </c>
      <c r="D18" s="290" t="n">
        <v>2.92</v>
      </c>
      <c r="E18" s="290" t="n">
        <v>7.4</v>
      </c>
      <c r="F18" s="290" t="inlineStr">
        <is>
          <t>大标准</t>
        </is>
      </c>
      <c r="G18" s="290" t="inlineStr">
        <is>
          <t>Y-A6全美直送专线</t>
        </is>
      </c>
      <c r="H18" s="290" t="n">
        <v>9.18</v>
      </c>
      <c r="I18" s="291" t="n">
        <v>48.26</v>
      </c>
      <c r="J18" s="292" t="n">
        <v>7.22</v>
      </c>
      <c r="K18" s="291" t="n">
        <v>28.34</v>
      </c>
      <c r="L18" s="292" t="n">
        <v>8.9</v>
      </c>
      <c r="M18" s="293" t="n">
        <v>32.55</v>
      </c>
      <c r="N18" s="292" t="n">
        <v>0.0007</v>
      </c>
      <c r="O18" s="294" t="n">
        <v>2.164282379207244e-05</v>
      </c>
      <c r="P18" s="295" t="n">
        <v>65.09999999999999</v>
      </c>
      <c r="Q18" s="292" t="n">
        <v>19.53</v>
      </c>
      <c r="R18" s="294" t="n">
        <v>0.3000108214118962</v>
      </c>
    </row>
    <row r="19">
      <c r="A19" s="290" t="inlineStr">
        <is>
          <t>Φ8'</t>
        </is>
      </c>
      <c r="B19" s="290" t="n">
        <v>4.52</v>
      </c>
      <c r="C19" s="290" t="n">
        <v>3</v>
      </c>
      <c r="D19" s="290" t="n">
        <v>5.2</v>
      </c>
      <c r="E19" s="290" t="n">
        <v>11.46</v>
      </c>
      <c r="F19" s="290" t="inlineStr">
        <is>
          <t>大标准</t>
        </is>
      </c>
      <c r="G19" s="290" t="inlineStr">
        <is>
          <t>Y-A6全美直送专线</t>
        </is>
      </c>
      <c r="H19" s="290" t="n">
        <v>9.18</v>
      </c>
      <c r="I19" s="291" t="n">
        <v>85.88</v>
      </c>
      <c r="J19" s="292" t="n">
        <v>12.85</v>
      </c>
      <c r="K19" s="291" t="n">
        <v>50.8</v>
      </c>
      <c r="L19" s="292" t="n">
        <v>10.18</v>
      </c>
      <c r="M19" s="293" t="n">
        <v>48.59</v>
      </c>
      <c r="N19" s="292" t="n">
        <v>0.0032</v>
      </c>
      <c r="O19" s="294" t="n">
        <v>6.617577583339594e-05</v>
      </c>
      <c r="P19" s="295" t="n">
        <v>97.17</v>
      </c>
      <c r="Q19" s="292" t="n">
        <v>29.15</v>
      </c>
      <c r="R19" s="294" t="n">
        <v>0.3000022175666127</v>
      </c>
    </row>
    <row r="20">
      <c r="A20" s="290" t="inlineStr">
        <is>
          <t>10'14'</t>
        </is>
      </c>
      <c r="B20" s="290" t="n">
        <v>13.02</v>
      </c>
      <c r="C20" s="290" t="n">
        <v>1</v>
      </c>
      <c r="D20" s="290" t="n">
        <v>15</v>
      </c>
      <c r="E20" s="290" t="n">
        <v>33.07</v>
      </c>
      <c r="F20" s="290" t="inlineStr">
        <is>
          <t>大件</t>
        </is>
      </c>
      <c r="G20" s="290" t="inlineStr">
        <is>
          <t>Y-A6全美直送专线</t>
        </is>
      </c>
      <c r="H20" s="290" t="n">
        <v>9.18</v>
      </c>
      <c r="I20" s="291" t="n">
        <v>247.38</v>
      </c>
      <c r="J20" s="292" t="n">
        <v>37.01</v>
      </c>
      <c r="K20" s="291" t="n">
        <v>146.88</v>
      </c>
      <c r="L20" s="292" t="n">
        <v>23.19</v>
      </c>
      <c r="M20" s="293" t="n">
        <v>129.87</v>
      </c>
      <c r="N20" s="292" t="n">
        <v>0.0022</v>
      </c>
      <c r="O20" s="294" t="n">
        <v>1.694174213221399e-05</v>
      </c>
      <c r="P20" s="295" t="n">
        <v>259.73</v>
      </c>
      <c r="Q20" s="292" t="n">
        <v>77.92</v>
      </c>
      <c r="R20" s="294" t="n">
        <v>0.2999969207409646</v>
      </c>
    </row>
    <row r="21">
      <c r="A21" s="290" t="inlineStr">
        <is>
          <t>8'8'</t>
        </is>
      </c>
      <c r="B21" s="290" t="n">
        <v>5.95</v>
      </c>
      <c r="C21" s="290" t="n">
        <v>2</v>
      </c>
      <c r="D21" s="290" t="n">
        <v>6.8</v>
      </c>
      <c r="E21" s="290" t="n">
        <v>17.86</v>
      </c>
      <c r="F21" s="290" t="inlineStr">
        <is>
          <t>大件</t>
        </is>
      </c>
      <c r="G21" s="290" t="inlineStr">
        <is>
          <t>Y-A6全美直送专线</t>
        </is>
      </c>
      <c r="H21" s="290" t="n">
        <v>9.18</v>
      </c>
      <c r="I21" s="291" t="n">
        <v>113.05</v>
      </c>
      <c r="J21" s="292" t="n">
        <v>16.91</v>
      </c>
      <c r="K21" s="291" t="n">
        <v>67.93000000000001</v>
      </c>
      <c r="L21" s="292" t="n">
        <v>17.11</v>
      </c>
      <c r="M21" s="293" t="n">
        <v>70.41</v>
      </c>
      <c r="N21" s="292" t="n">
        <v>0.004</v>
      </c>
      <c r="O21" s="294" t="n">
        <v>5.634760844799323e-05</v>
      </c>
      <c r="P21" s="295" t="n">
        <v>140.81</v>
      </c>
      <c r="Q21" s="292" t="n">
        <v>42.24</v>
      </c>
      <c r="R21" s="294" t="n">
        <v>0.3000068705000413</v>
      </c>
    </row>
    <row r="22">
      <c r="A22" s="290" t="inlineStr">
        <is>
          <t>Φ3.15'</t>
        </is>
      </c>
      <c r="B22" s="290" t="n">
        <v>0.9216</v>
      </c>
      <c r="C22" s="290" t="n">
        <v>20</v>
      </c>
      <c r="D22" s="290" t="n">
        <v>0.86</v>
      </c>
      <c r="E22" s="290" t="n">
        <v>3.01</v>
      </c>
      <c r="F22" s="290" t="inlineStr">
        <is>
          <t>大标准</t>
        </is>
      </c>
      <c r="G22" s="290" t="inlineStr">
        <is>
          <t>Y-A6全美直送专线</t>
        </is>
      </c>
      <c r="H22" s="290" t="n">
        <v>9.18</v>
      </c>
      <c r="I22" s="291" t="n">
        <v>17.51</v>
      </c>
      <c r="J22" s="292" t="n">
        <v>2.62</v>
      </c>
      <c r="K22" s="291" t="n">
        <v>8.539999999999999</v>
      </c>
      <c r="L22" s="292" t="n">
        <v>7.54</v>
      </c>
      <c r="M22" s="293" t="n">
        <v>18.56</v>
      </c>
      <c r="N22" s="292" t="n">
        <v>0.0002</v>
      </c>
      <c r="O22" s="294" t="n">
        <v>1.160328580000423e-05</v>
      </c>
      <c r="P22" s="295" t="n">
        <v>37.12</v>
      </c>
      <c r="Q22" s="292" t="n">
        <v>11.14</v>
      </c>
      <c r="R22" s="294" t="n">
        <v>0.3000058016429001</v>
      </c>
    </row>
    <row r="23">
      <c r="A23" s="290" t="inlineStr">
        <is>
          <t>Φ3.4'</t>
        </is>
      </c>
      <c r="B23" s="290" t="n">
        <v>1.073296</v>
      </c>
      <c r="C23" s="290" t="n">
        <v>18</v>
      </c>
      <c r="D23" s="290" t="n">
        <v>1</v>
      </c>
      <c r="E23" s="290" t="n">
        <v>3.01</v>
      </c>
      <c r="F23" s="290" t="inlineStr">
        <is>
          <t>大标准</t>
        </is>
      </c>
      <c r="G23" s="290" t="inlineStr">
        <is>
          <t>Y-A6全美直送专线</t>
        </is>
      </c>
      <c r="H23" s="290" t="n">
        <v>9.18</v>
      </c>
      <c r="I23" s="291" t="n">
        <v>20.39</v>
      </c>
      <c r="J23" s="292" t="n">
        <v>3.05</v>
      </c>
      <c r="K23" s="291" t="n">
        <v>9.890000000000001</v>
      </c>
      <c r="L23" s="292" t="n">
        <v>7.54</v>
      </c>
      <c r="M23" s="293" t="n">
        <v>19.54</v>
      </c>
      <c r="N23" s="292" t="n">
        <v>0.0036</v>
      </c>
      <c r="O23" s="294" t="n">
        <v>0.0001856369118736157</v>
      </c>
      <c r="P23" s="295" t="n">
        <v>39.07</v>
      </c>
      <c r="Q23" s="292" t="n">
        <v>11.72</v>
      </c>
      <c r="R23" s="294" t="n">
        <v>0.3000160569556697</v>
      </c>
    </row>
    <row r="24">
      <c r="A24" s="290" t="inlineStr">
        <is>
          <t>Φ5'</t>
        </is>
      </c>
      <c r="B24" s="290" t="n">
        <v>2.3104</v>
      </c>
      <c r="C24" s="290" t="n">
        <v>7</v>
      </c>
      <c r="D24" s="290" t="n">
        <v>2.14</v>
      </c>
      <c r="E24" s="290" t="n">
        <v>5.37</v>
      </c>
      <c r="F24" s="290" t="inlineStr">
        <is>
          <t>大标准</t>
        </is>
      </c>
      <c r="G24" s="290" t="inlineStr">
        <is>
          <t>Y-A6全美直送专线</t>
        </is>
      </c>
      <c r="H24" s="290" t="n">
        <v>9.18</v>
      </c>
      <c r="I24" s="291" t="n">
        <v>43.9</v>
      </c>
      <c r="J24" s="292" t="n">
        <v>6.57</v>
      </c>
      <c r="K24" s="291" t="n">
        <v>22.03</v>
      </c>
      <c r="L24" s="292" t="n">
        <v>8.26</v>
      </c>
      <c r="M24" s="293" t="n">
        <v>28.95</v>
      </c>
      <c r="N24" s="292" t="n">
        <v>0.0014</v>
      </c>
      <c r="O24" s="294" t="n">
        <v>4.929327279875811e-05</v>
      </c>
      <c r="P24" s="295" t="n">
        <v>57.9</v>
      </c>
      <c r="Q24" s="292" t="n">
        <v>17.37</v>
      </c>
      <c r="R24" s="294" t="n">
        <v>0.3000246466363994</v>
      </c>
    </row>
    <row r="25">
      <c r="A25" s="290" t="inlineStr">
        <is>
          <t>2.6*8</t>
        </is>
      </c>
      <c r="B25" s="290" t="n">
        <v>1.9764</v>
      </c>
      <c r="C25" s="290" t="n">
        <v>8</v>
      </c>
      <c r="D25" s="290" t="n">
        <v>2.36</v>
      </c>
      <c r="E25" s="290" t="n">
        <v>5.35</v>
      </c>
      <c r="F25" s="290" t="inlineStr">
        <is>
          <t>大标准</t>
        </is>
      </c>
      <c r="G25" s="290" t="inlineStr">
        <is>
          <t>Y-A6全美直送专线</t>
        </is>
      </c>
      <c r="H25" s="290" t="n">
        <v>9.18</v>
      </c>
      <c r="I25" s="291" t="n">
        <v>37.55</v>
      </c>
      <c r="J25" s="292" t="n">
        <v>5.62</v>
      </c>
      <c r="K25" s="291" t="n">
        <v>22.93</v>
      </c>
      <c r="L25" s="292" t="n">
        <v>8.26</v>
      </c>
      <c r="M25" s="293" t="n">
        <v>27.78</v>
      </c>
      <c r="N25" s="292" t="n">
        <v>0.0057</v>
      </c>
      <c r="O25" s="294" t="n">
        <v>0.0002069425901330993</v>
      </c>
      <c r="P25" s="295" t="n">
        <v>55.54</v>
      </c>
      <c r="Q25" s="292" t="n">
        <v>16.66</v>
      </c>
      <c r="R25" s="294" t="n">
        <v>0.299995478306696</v>
      </c>
    </row>
    <row r="26">
      <c r="A26" s="1" t="inlineStr">
        <is>
          <t>说明：保本售价=利润(含退税)≥0的最低价(向上到分)；利润售价=利润率约30%。改仓库/发货日/汇率后，请重新运行计算或看主表公式自动重算。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44"/>
  <sheetViews>
    <sheetView workbookViewId="0">
      <selection activeCell="A1" sqref="A1"/>
    </sheetView>
  </sheetViews>
  <sheetFormatPr baseColWidth="8" defaultRowHeight="15"/>
  <cols>
    <col width="12" customWidth="1" style="67" min="1" max="1"/>
    <col width="14" customWidth="1" style="67" min="2" max="2"/>
    <col width="22" customWidth="1" style="67" min="3" max="3"/>
    <col width="10" customWidth="1" style="67" min="4" max="4"/>
    <col width="14" customWidth="1" style="67" min="5" max="5"/>
    <col width="14" customWidth="1" style="67" min="6" max="6"/>
    <col width="10" customWidth="1" style="67" min="7" max="7"/>
    <col width="14" customWidth="1" style="67" min="8" max="8"/>
    <col width="12" customWidth="1" style="67" min="9" max="9"/>
    <col width="26" customWidth="1" style="67" min="10" max="10"/>
  </cols>
  <sheetData>
    <row r="1">
      <c r="A1" s="101" t="inlineStr">
        <is>
          <t>线路Sheet</t>
        </is>
      </c>
      <c r="B1" s="101" t="inlineStr">
        <is>
          <t>区域</t>
        </is>
      </c>
      <c r="C1" s="101" t="inlineStr">
        <is>
          <t>渠道</t>
        </is>
      </c>
      <c r="D1" s="101" t="inlineStr">
        <is>
          <t>起运地</t>
        </is>
      </c>
      <c r="E1" s="101" t="inlineStr">
        <is>
          <t>FBA仓</t>
        </is>
      </c>
      <c r="F1" s="101" t="inlineStr">
        <is>
          <t>单价(RMB/KG)</t>
        </is>
      </c>
      <c r="G1" s="101" t="inlineStr">
        <is>
          <t>计费单位</t>
        </is>
      </c>
      <c r="H1" s="101" t="inlineStr">
        <is>
          <t>地毯附加(RMB/KG)</t>
        </is>
      </c>
      <c r="I1" s="101" t="inlineStr">
        <is>
          <t>生效日期</t>
        </is>
      </c>
      <c r="J1" s="101" t="inlineStr">
        <is>
          <t>来源文件</t>
        </is>
      </c>
      <c r="L1" s="102" t="inlineStr">
        <is>
          <t>主表顺序：起运地→FBA仓→运输方式→海运渠道。下拉仅有价。刷新用 更新海运报价.py</t>
        </is>
      </c>
      <c r="N1" s="1" t="inlineStr">
        <is>
          <t>渠道列表(旧/全量)</t>
        </is>
      </c>
      <c r="O1" s="1" t="inlineStr">
        <is>
          <t>起运地列表</t>
        </is>
      </c>
      <c r="P1" s="1" t="inlineStr">
        <is>
          <t>FBA仓列表(旧/全量勿直接用)</t>
        </is>
      </c>
    </row>
    <row r="2">
      <c r="A2" s="1" t="inlineStr">
        <is>
          <t>美西快线</t>
        </is>
      </c>
      <c r="B2" s="1" t="inlineStr">
        <is>
          <t>美西快线</t>
        </is>
      </c>
      <c r="C2" s="1" t="inlineStr">
        <is>
          <t>Y-911专线</t>
        </is>
      </c>
      <c r="D2" s="1" t="inlineStr">
        <is>
          <t>义乌</t>
        </is>
      </c>
      <c r="E2" s="1" t="inlineStr">
        <is>
          <t>凯琦美西仓</t>
        </is>
      </c>
      <c r="F2" s="134" t="n">
        <v>13.18</v>
      </c>
      <c r="G2" s="1" t="inlineStr">
        <is>
          <t>RMB/KG</t>
        </is>
      </c>
      <c r="H2" s="134" t="n">
        <v>0</v>
      </c>
      <c r="I2" s="1" t="inlineStr">
        <is>
          <t>2026-10-26</t>
        </is>
      </c>
      <c r="J2" s="1" t="inlineStr">
        <is>
          <t>凯琦FBA报价_当期.xlsx</t>
        </is>
      </c>
      <c r="L2" s="1" t="inlineStr">
        <is>
          <t>固定文件名：与成本表同目录的 凯琦FBA报价_当期.xlsx</t>
        </is>
      </c>
      <c r="N2" s="1" t="inlineStr">
        <is>
          <t>718海派</t>
        </is>
      </c>
      <c r="O2" s="1" t="inlineStr">
        <is>
          <t>义乌</t>
        </is>
      </c>
      <c r="P2" s="1" t="inlineStr">
        <is>
          <t>ABE3</t>
        </is>
      </c>
    </row>
    <row r="3">
      <c r="A3" s="1" t="inlineStr">
        <is>
          <t>美西快线</t>
        </is>
      </c>
      <c r="B3" s="1" t="inlineStr">
        <is>
          <t>美西快线</t>
        </is>
      </c>
      <c r="C3" s="1" t="inlineStr">
        <is>
          <t>Y-911专线</t>
        </is>
      </c>
      <c r="D3" s="1" t="inlineStr">
        <is>
          <t>义乌</t>
        </is>
      </c>
      <c r="E3" s="1" t="inlineStr">
        <is>
          <t>ONT8</t>
        </is>
      </c>
      <c r="F3" s="134" t="n">
        <v>13.38</v>
      </c>
      <c r="G3" s="1" t="inlineStr">
        <is>
          <t>RMB/KG</t>
        </is>
      </c>
      <c r="H3" s="134" t="n">
        <v>0</v>
      </c>
      <c r="I3" s="1" t="inlineStr">
        <is>
          <t>2026-10-26</t>
        </is>
      </c>
      <c r="J3" s="1" t="inlineStr">
        <is>
          <t>凯琦FBA报价_当期.xlsx</t>
        </is>
      </c>
      <c r="L3" s="1" t="inlineStr">
        <is>
          <t>Alt+F8 → RefreshOceanFreight；详见 宏更新说明.txt / 更新海运报价.bas</t>
        </is>
      </c>
      <c r="N3" s="1" t="inlineStr">
        <is>
          <t>Q-718专线</t>
        </is>
      </c>
      <c r="O3" s="1" t="inlineStr">
        <is>
          <t>青岛</t>
        </is>
      </c>
      <c r="P3" s="1" t="inlineStr">
        <is>
          <t>ABE4</t>
        </is>
      </c>
    </row>
    <row r="4">
      <c r="A4" s="1" t="inlineStr">
        <is>
          <t>美西快线</t>
        </is>
      </c>
      <c r="B4" s="1" t="inlineStr">
        <is>
          <t>美西快线</t>
        </is>
      </c>
      <c r="C4" s="1" t="inlineStr">
        <is>
          <t>Y-911专线</t>
        </is>
      </c>
      <c r="D4" s="1" t="inlineStr">
        <is>
          <t>义乌</t>
        </is>
      </c>
      <c r="E4" s="1" t="inlineStr">
        <is>
          <t>LGB8</t>
        </is>
      </c>
      <c r="F4" s="134" t="n">
        <v>13.38</v>
      </c>
      <c r="G4" s="1" t="inlineStr">
        <is>
          <t>RMB/KG</t>
        </is>
      </c>
      <c r="H4" s="134" t="n">
        <v>0</v>
      </c>
      <c r="I4" s="1" t="inlineStr">
        <is>
          <t>2026-10-26</t>
        </is>
      </c>
      <c r="J4" s="1" t="inlineStr">
        <is>
          <t>凯琦FBA报价_当期.xlsx</t>
        </is>
      </c>
      <c r="L4" s="1" t="inlineStr">
        <is>
          <t>当前已载入 943 条（义乌 819 / 青岛 124）</t>
        </is>
      </c>
      <c r="N4" s="1" t="inlineStr">
        <is>
          <t>Q15纽约海卡</t>
        </is>
      </c>
      <c r="P4" s="1" t="inlineStr">
        <is>
          <t>ABE8</t>
        </is>
      </c>
    </row>
    <row r="5">
      <c r="A5" s="1" t="inlineStr">
        <is>
          <t>美西快线</t>
        </is>
      </c>
      <c r="B5" s="1" t="inlineStr">
        <is>
          <t>美西快线</t>
        </is>
      </c>
      <c r="C5" s="1" t="inlineStr">
        <is>
          <t>Y-911专线</t>
        </is>
      </c>
      <c r="D5" s="1" t="inlineStr">
        <is>
          <t>义乌</t>
        </is>
      </c>
      <c r="E5" s="1" t="inlineStr">
        <is>
          <t>LAX9</t>
        </is>
      </c>
      <c r="F5" s="134" t="n">
        <v>13.38</v>
      </c>
      <c r="G5" s="1" t="inlineStr">
        <is>
          <t>RMB/KG</t>
        </is>
      </c>
      <c r="H5" s="134" t="n">
        <v>0</v>
      </c>
      <c r="I5" s="1" t="inlineStr">
        <is>
          <t>2026-10-26</t>
        </is>
      </c>
      <c r="J5" s="1" t="inlineStr">
        <is>
          <t>凯琦FBA报价_当期.xlsx</t>
        </is>
      </c>
      <c r="N5" s="1" t="inlineStr">
        <is>
          <t>Y-718专线</t>
        </is>
      </c>
      <c r="P5" s="1" t="inlineStr">
        <is>
          <t>ABQ2</t>
        </is>
      </c>
    </row>
    <row r="6">
      <c r="A6" s="1" t="inlineStr">
        <is>
          <t>美西快线</t>
        </is>
      </c>
      <c r="B6" s="1" t="inlineStr">
        <is>
          <t>美西快线</t>
        </is>
      </c>
      <c r="C6" s="1" t="inlineStr">
        <is>
          <t>Y-911专线</t>
        </is>
      </c>
      <c r="D6" s="1" t="inlineStr">
        <is>
          <t>义乌</t>
        </is>
      </c>
      <c r="E6" s="1" t="inlineStr">
        <is>
          <t>SBD1</t>
        </is>
      </c>
      <c r="F6" s="134" t="n">
        <v>13.38</v>
      </c>
      <c r="G6" s="1" t="inlineStr">
        <is>
          <t>RMB/KG</t>
        </is>
      </c>
      <c r="H6" s="134" t="n">
        <v>0</v>
      </c>
      <c r="I6" s="1" t="inlineStr">
        <is>
          <t>2026-10-26</t>
        </is>
      </c>
      <c r="J6" s="1" t="inlineStr">
        <is>
          <t>凯琦FBA报价_当期.xlsx</t>
        </is>
      </c>
      <c r="N6" s="1" t="inlineStr">
        <is>
          <t>Y-718海派</t>
        </is>
      </c>
      <c r="P6" s="1" t="inlineStr">
        <is>
          <t>ACY2</t>
        </is>
      </c>
    </row>
    <row r="7">
      <c r="A7" s="1" t="inlineStr">
        <is>
          <t>美西快线</t>
        </is>
      </c>
      <c r="B7" s="1" t="inlineStr">
        <is>
          <t>美西快线</t>
        </is>
      </c>
      <c r="C7" s="1" t="inlineStr">
        <is>
          <t>Y-911专线</t>
        </is>
      </c>
      <c r="D7" s="1" t="inlineStr">
        <is>
          <t>义乌</t>
        </is>
      </c>
      <c r="E7" s="1" t="inlineStr">
        <is>
          <t>POC1</t>
        </is>
      </c>
      <c r="F7" s="134" t="n">
        <v>13.68</v>
      </c>
      <c r="G7" s="1" t="inlineStr">
        <is>
          <t>RMB/KG</t>
        </is>
      </c>
      <c r="H7" s="134" t="n">
        <v>0</v>
      </c>
      <c r="I7" s="1" t="inlineStr">
        <is>
          <t>2026-10-26</t>
        </is>
      </c>
      <c r="J7" s="1" t="inlineStr">
        <is>
          <t>凯琦FBA报价_当期.xlsx</t>
        </is>
      </c>
      <c r="N7" s="1" t="inlineStr">
        <is>
          <t>Y-911专线</t>
        </is>
      </c>
      <c r="P7" s="1" t="inlineStr">
        <is>
          <t>AKR1</t>
        </is>
      </c>
    </row>
    <row r="8">
      <c r="A8" s="1" t="inlineStr">
        <is>
          <t>美西快线</t>
        </is>
      </c>
      <c r="B8" s="1" t="inlineStr">
        <is>
          <t>美西快线</t>
        </is>
      </c>
      <c r="C8" s="1" t="inlineStr">
        <is>
          <t>Y-911专线</t>
        </is>
      </c>
      <c r="D8" s="1" t="inlineStr">
        <is>
          <t>义乌</t>
        </is>
      </c>
      <c r="E8" s="1" t="inlineStr">
        <is>
          <t>POC2</t>
        </is>
      </c>
      <c r="F8" s="134" t="n">
        <v>13.48</v>
      </c>
      <c r="G8" s="1" t="inlineStr">
        <is>
          <t>RMB/KG</t>
        </is>
      </c>
      <c r="H8" s="134" t="n">
        <v>0</v>
      </c>
      <c r="I8" s="1" t="inlineStr">
        <is>
          <t>2026-10-26</t>
        </is>
      </c>
      <c r="J8" s="1" t="inlineStr">
        <is>
          <t>凯琦FBA报价_当期.xlsx</t>
        </is>
      </c>
      <c r="N8" s="1" t="inlineStr">
        <is>
          <t>Y-911海派</t>
        </is>
      </c>
      <c r="P8" s="1" t="inlineStr">
        <is>
          <t>ALB1</t>
        </is>
      </c>
    </row>
    <row r="9">
      <c r="A9" s="1" t="inlineStr">
        <is>
          <t>美西快线</t>
        </is>
      </c>
      <c r="B9" s="1" t="inlineStr">
        <is>
          <t>美西快线</t>
        </is>
      </c>
      <c r="C9" s="1" t="inlineStr">
        <is>
          <t>Y-911专线</t>
        </is>
      </c>
      <c r="D9" s="1" t="inlineStr">
        <is>
          <t>义乌</t>
        </is>
      </c>
      <c r="E9" s="1" t="inlineStr">
        <is>
          <t>POC3</t>
        </is>
      </c>
      <c r="F9" s="134" t="n">
        <v>13.48</v>
      </c>
      <c r="G9" s="1" t="inlineStr">
        <is>
          <t>RMB/KG</t>
        </is>
      </c>
      <c r="H9" s="134" t="n">
        <v>0</v>
      </c>
      <c r="I9" s="1" t="inlineStr">
        <is>
          <t>2026-10-26</t>
        </is>
      </c>
      <c r="J9" s="1" t="inlineStr">
        <is>
          <t>凯琦FBA报价_当期.xlsx</t>
        </is>
      </c>
      <c r="N9" s="1" t="inlineStr">
        <is>
          <t>Y-A4-专线</t>
        </is>
      </c>
      <c r="P9" s="1" t="inlineStr">
        <is>
          <t>AVP1</t>
        </is>
      </c>
    </row>
    <row r="10">
      <c r="A10" s="1" t="inlineStr">
        <is>
          <t>美西快线</t>
        </is>
      </c>
      <c r="B10" s="1" t="inlineStr">
        <is>
          <t>美西快线</t>
        </is>
      </c>
      <c r="C10" s="1" t="inlineStr">
        <is>
          <t>Y-911专线</t>
        </is>
      </c>
      <c r="D10" s="1" t="inlineStr">
        <is>
          <t>义乌</t>
        </is>
      </c>
      <c r="E10" s="1" t="inlineStr">
        <is>
          <t>IUSP</t>
        </is>
      </c>
      <c r="F10" s="134" t="n">
        <v>13.78</v>
      </c>
      <c r="G10" s="1" t="inlineStr">
        <is>
          <t>RMB/KG</t>
        </is>
      </c>
      <c r="H10" s="134" t="n">
        <v>0</v>
      </c>
      <c r="I10" s="1" t="inlineStr">
        <is>
          <t>2026-10-26</t>
        </is>
      </c>
      <c r="J10" s="1" t="inlineStr">
        <is>
          <t>凯琦FBA报价_当期.xlsx</t>
        </is>
      </c>
      <c r="N10" s="1" t="inlineStr">
        <is>
          <t>Y-A4NY</t>
        </is>
      </c>
      <c r="P10" s="1" t="inlineStr">
        <is>
          <t>AVP9</t>
        </is>
      </c>
    </row>
    <row r="11">
      <c r="A11" s="1" t="inlineStr">
        <is>
          <t>美西快线</t>
        </is>
      </c>
      <c r="B11" s="1" t="inlineStr">
        <is>
          <t>美西快线</t>
        </is>
      </c>
      <c r="C11" s="1" t="inlineStr">
        <is>
          <t>Y-911专线</t>
        </is>
      </c>
      <c r="D11" s="1" t="inlineStr">
        <is>
          <t>义乌</t>
        </is>
      </c>
      <c r="E11" s="1" t="inlineStr">
        <is>
          <t>PSP3</t>
        </is>
      </c>
      <c r="F11" s="134" t="n">
        <v>13.78</v>
      </c>
      <c r="G11" s="1" t="inlineStr">
        <is>
          <t>RMB/KG</t>
        </is>
      </c>
      <c r="H11" s="134" t="n">
        <v>0</v>
      </c>
      <c r="I11" s="1" t="inlineStr">
        <is>
          <t>2026-10-26</t>
        </is>
      </c>
      <c r="J11" s="1" t="inlineStr">
        <is>
          <t>凯琦FBA报价_当期.xlsx</t>
        </is>
      </c>
      <c r="N11" s="1" t="inlineStr">
        <is>
          <t>Y-A4SAV</t>
        </is>
      </c>
      <c r="P11" s="1" t="inlineStr">
        <is>
          <t>BDL6</t>
        </is>
      </c>
    </row>
    <row r="12">
      <c r="A12" s="1" t="inlineStr">
        <is>
          <t>美西快线</t>
        </is>
      </c>
      <c r="B12" s="1" t="inlineStr">
        <is>
          <t>美西快线</t>
        </is>
      </c>
      <c r="C12" s="1" t="inlineStr">
        <is>
          <t>Y-911专线</t>
        </is>
      </c>
      <c r="D12" s="1" t="inlineStr">
        <is>
          <t>义乌</t>
        </is>
      </c>
      <c r="E12" s="1" t="inlineStr">
        <is>
          <t>LAS1</t>
        </is>
      </c>
      <c r="F12" s="134" t="n">
        <v>14.28</v>
      </c>
      <c r="G12" s="1" t="inlineStr">
        <is>
          <t>RMB/KG</t>
        </is>
      </c>
      <c r="H12" s="134" t="n">
        <v>0</v>
      </c>
      <c r="I12" s="1" t="inlineStr">
        <is>
          <t>2026-10-26</t>
        </is>
      </c>
      <c r="J12" s="1" t="inlineStr">
        <is>
          <t>凯琦FBA报价_当期.xlsx</t>
        </is>
      </c>
      <c r="N12" s="1" t="inlineStr">
        <is>
          <t>Y-A6全美直送专线</t>
        </is>
      </c>
      <c r="P12" s="1" t="inlineStr">
        <is>
          <t>BFI3</t>
        </is>
      </c>
    </row>
    <row r="13">
      <c r="A13" s="1" t="inlineStr">
        <is>
          <t>美西快线</t>
        </is>
      </c>
      <c r="B13" s="1" t="inlineStr">
        <is>
          <t>美西快线</t>
        </is>
      </c>
      <c r="C13" s="1" t="inlineStr">
        <is>
          <t>Y-911专线</t>
        </is>
      </c>
      <c r="D13" s="1" t="inlineStr">
        <is>
          <t>义乌</t>
        </is>
      </c>
      <c r="E13" s="1" t="inlineStr">
        <is>
          <t>GYR2</t>
        </is>
      </c>
      <c r="F13" s="134" t="n">
        <v>14.28</v>
      </c>
      <c r="G13" s="1" t="inlineStr">
        <is>
          <t>RMB/KG</t>
        </is>
      </c>
      <c r="H13" s="134" t="n">
        <v>0</v>
      </c>
      <c r="I13" s="1" t="inlineStr">
        <is>
          <t>2026-10-26</t>
        </is>
      </c>
      <c r="J13" s="1" t="inlineStr">
        <is>
          <t>凯琦FBA报价_当期.xlsx</t>
        </is>
      </c>
      <c r="N13" s="1" t="inlineStr">
        <is>
          <t>Y-K13美中专线</t>
        </is>
      </c>
      <c r="P13" s="1" t="inlineStr">
        <is>
          <t>BJC1</t>
        </is>
      </c>
    </row>
    <row r="14">
      <c r="A14" s="1" t="inlineStr">
        <is>
          <t>美西快线</t>
        </is>
      </c>
      <c r="B14" s="1" t="inlineStr">
        <is>
          <t>美西快线</t>
        </is>
      </c>
      <c r="C14" s="1" t="inlineStr">
        <is>
          <t>Y-911专线</t>
        </is>
      </c>
      <c r="D14" s="1" t="inlineStr">
        <is>
          <t>义乌</t>
        </is>
      </c>
      <c r="E14" s="1" t="inlineStr">
        <is>
          <t>GYR3</t>
        </is>
      </c>
      <c r="F14" s="134" t="n">
        <v>14.28</v>
      </c>
      <c r="G14" s="1" t="inlineStr">
        <is>
          <t>RMB/KG</t>
        </is>
      </c>
      <c r="H14" s="134" t="n">
        <v>0</v>
      </c>
      <c r="I14" s="1" t="inlineStr">
        <is>
          <t>2026-10-26</t>
        </is>
      </c>
      <c r="J14" s="1" t="inlineStr">
        <is>
          <t>凯琦FBA报价_当期.xlsx</t>
        </is>
      </c>
      <c r="N14" s="1" t="inlineStr">
        <is>
          <t>Y-K14芝加哥专线</t>
        </is>
      </c>
      <c r="P14" s="1" t="inlineStr">
        <is>
          <t>BNA2</t>
        </is>
      </c>
    </row>
    <row r="15">
      <c r="A15" s="1" t="inlineStr">
        <is>
          <t>美西快线</t>
        </is>
      </c>
      <c r="B15" s="1" t="inlineStr">
        <is>
          <t>美西快线</t>
        </is>
      </c>
      <c r="C15" s="1" t="inlineStr">
        <is>
          <t>Y-911专线</t>
        </is>
      </c>
      <c r="D15" s="1" t="inlineStr">
        <is>
          <t>义乌</t>
        </is>
      </c>
      <c r="E15" s="1" t="inlineStr">
        <is>
          <t>VGT2</t>
        </is>
      </c>
      <c r="F15" s="134" t="n">
        <v>14.28</v>
      </c>
      <c r="G15" s="1" t="inlineStr">
        <is>
          <t>RMB/KG</t>
        </is>
      </c>
      <c r="H15" s="134" t="n">
        <v>0</v>
      </c>
      <c r="I15" s="1" t="inlineStr">
        <is>
          <t>2026-10-26</t>
        </is>
      </c>
      <c r="J15" s="1" t="inlineStr">
        <is>
          <t>凯琦FBA报价_当期.xlsx</t>
        </is>
      </c>
      <c r="N15" s="1" t="inlineStr">
        <is>
          <t>Y-K16萨瓦纳海卡</t>
        </is>
      </c>
      <c r="P15" s="1" t="inlineStr">
        <is>
          <t>BNA6</t>
        </is>
      </c>
    </row>
    <row r="16">
      <c r="A16" s="1" t="inlineStr">
        <is>
          <t>美西快线</t>
        </is>
      </c>
      <c r="B16" s="1" t="inlineStr">
        <is>
          <t>美西快线</t>
        </is>
      </c>
      <c r="C16" s="1" t="inlineStr">
        <is>
          <t>Y-911专线</t>
        </is>
      </c>
      <c r="D16" s="1" t="inlineStr">
        <is>
          <t>义乌</t>
        </is>
      </c>
      <c r="E16" s="1" t="inlineStr">
        <is>
          <t>GEU3</t>
        </is>
      </c>
      <c r="F16" s="134" t="n">
        <v>14.28</v>
      </c>
      <c r="G16" s="1" t="inlineStr">
        <is>
          <t>RMB/KG</t>
        </is>
      </c>
      <c r="H16" s="134" t="n">
        <v>0</v>
      </c>
      <c r="I16" s="1" t="inlineStr">
        <is>
          <t>2026-10-26</t>
        </is>
      </c>
      <c r="J16" s="1" t="inlineStr">
        <is>
          <t>凯琦FBA报价_当期.xlsx</t>
        </is>
      </c>
      <c r="N16" s="1" t="inlineStr">
        <is>
          <t>Y-SEND普船专线</t>
        </is>
      </c>
      <c r="P16" s="1" t="inlineStr">
        <is>
          <t>BOS7</t>
        </is>
      </c>
    </row>
    <row r="17">
      <c r="A17" s="1" t="inlineStr">
        <is>
          <t>美西快线</t>
        </is>
      </c>
      <c r="B17" s="1" t="inlineStr">
        <is>
          <t>美西快线</t>
        </is>
      </c>
      <c r="C17" s="1" t="inlineStr">
        <is>
          <t>Y-911专线</t>
        </is>
      </c>
      <c r="D17" s="1" t="inlineStr">
        <is>
          <t>义乌</t>
        </is>
      </c>
      <c r="E17" s="1" t="inlineStr">
        <is>
          <t>HLI2</t>
        </is>
      </c>
      <c r="F17" s="134" t="n">
        <v>14.48</v>
      </c>
      <c r="G17" s="1" t="inlineStr">
        <is>
          <t>RMB/KG</t>
        </is>
      </c>
      <c r="H17" s="134" t="n">
        <v>0</v>
      </c>
      <c r="I17" s="1" t="inlineStr">
        <is>
          <t>2026-10-26</t>
        </is>
      </c>
      <c r="J17" s="1" t="inlineStr">
        <is>
          <t>凯琦FBA报价_当期.xlsx</t>
        </is>
      </c>
      <c r="N17" s="1" t="inlineStr">
        <is>
          <t>Y-X1-专线(卡尔加里)</t>
        </is>
      </c>
      <c r="P17" s="1" t="inlineStr">
        <is>
          <t>BWI4</t>
        </is>
      </c>
    </row>
    <row r="18">
      <c r="A18" s="1" t="inlineStr">
        <is>
          <t>美西快线</t>
        </is>
      </c>
      <c r="B18" s="1" t="inlineStr">
        <is>
          <t>美西快线</t>
        </is>
      </c>
      <c r="C18" s="1" t="inlineStr">
        <is>
          <t>Y-911专线</t>
        </is>
      </c>
      <c r="D18" s="1" t="inlineStr">
        <is>
          <t>义乌</t>
        </is>
      </c>
      <c r="E18" s="1" t="inlineStr">
        <is>
          <t>MIT2</t>
        </is>
      </c>
      <c r="F18" s="134" t="n">
        <v>14.28</v>
      </c>
      <c r="G18" s="1" t="inlineStr">
        <is>
          <t>RMB/KG</t>
        </is>
      </c>
      <c r="H18" s="134" t="n">
        <v>0</v>
      </c>
      <c r="I18" s="1" t="inlineStr">
        <is>
          <t>2026-10-26</t>
        </is>
      </c>
      <c r="J18" s="1" t="inlineStr">
        <is>
          <t>凯琦FBA报价_当期.xlsx</t>
        </is>
      </c>
      <c r="N18" s="1" t="inlineStr">
        <is>
          <t>Y-X1-专线(多伦多)</t>
        </is>
      </c>
      <c r="P18" s="1" t="inlineStr">
        <is>
          <t>CHA2</t>
        </is>
      </c>
    </row>
    <row r="19">
      <c r="A19" s="1" t="inlineStr">
        <is>
          <t>美西快线</t>
        </is>
      </c>
      <c r="B19" s="1" t="inlineStr">
        <is>
          <t>美西快线</t>
        </is>
      </c>
      <c r="C19" s="1" t="inlineStr">
        <is>
          <t>Y-911专线</t>
        </is>
      </c>
      <c r="D19" s="1" t="inlineStr">
        <is>
          <t>义乌</t>
        </is>
      </c>
      <c r="E19" s="1" t="inlineStr">
        <is>
          <t>GEU2</t>
        </is>
      </c>
      <c r="F19" s="134" t="n">
        <v>14.28</v>
      </c>
      <c r="G19" s="1" t="inlineStr">
        <is>
          <t>RMB/KG</t>
        </is>
      </c>
      <c r="H19" s="134" t="n">
        <v>0</v>
      </c>
      <c r="I19" s="1" t="inlineStr">
        <is>
          <t>2026-10-26</t>
        </is>
      </c>
      <c r="J19" s="1" t="inlineStr">
        <is>
          <t>凯琦FBA报价_当期.xlsx</t>
        </is>
      </c>
      <c r="N19" s="1" t="inlineStr">
        <is>
          <t>Y-X1-专线(温哥华)</t>
        </is>
      </c>
      <c r="P19" s="1" t="inlineStr">
        <is>
          <t>CHO1</t>
        </is>
      </c>
    </row>
    <row r="20">
      <c r="A20" s="1" t="inlineStr">
        <is>
          <t>美西快线</t>
        </is>
      </c>
      <c r="B20" s="1" t="inlineStr">
        <is>
          <t>美西快线</t>
        </is>
      </c>
      <c r="C20" s="1" t="inlineStr">
        <is>
          <t>Y-911专线</t>
        </is>
      </c>
      <c r="D20" s="1" t="inlineStr">
        <is>
          <t>义乌</t>
        </is>
      </c>
      <c r="E20" s="1" t="inlineStr">
        <is>
          <t>SMF3</t>
        </is>
      </c>
      <c r="F20" s="134" t="n">
        <v>14.48</v>
      </c>
      <c r="G20" s="1" t="inlineStr">
        <is>
          <t>RMB/KG</t>
        </is>
      </c>
      <c r="H20" s="134" t="n">
        <v>0</v>
      </c>
      <c r="I20" s="1" t="inlineStr">
        <is>
          <t>2026-10-26</t>
        </is>
      </c>
      <c r="J20" s="1" t="inlineStr">
        <is>
          <t>凯琦FBA报价_当期.xlsx</t>
        </is>
      </c>
      <c r="N20" s="1" t="inlineStr">
        <is>
          <t>Y-X1-专线(温尼伯)</t>
        </is>
      </c>
      <c r="P20" s="1" t="inlineStr">
        <is>
          <t>CLT2</t>
        </is>
      </c>
    </row>
    <row r="21">
      <c r="A21" s="1" t="inlineStr">
        <is>
          <t>美西快线</t>
        </is>
      </c>
      <c r="B21" s="1" t="inlineStr">
        <is>
          <t>美西快线</t>
        </is>
      </c>
      <c r="C21" s="1" t="inlineStr">
        <is>
          <t>Y-911专线</t>
        </is>
      </c>
      <c r="D21" s="1" t="inlineStr">
        <is>
          <t>义乌</t>
        </is>
      </c>
      <c r="E21" s="1" t="inlineStr">
        <is>
          <t>SCK8</t>
        </is>
      </c>
      <c r="F21" s="134" t="n">
        <v>14.58</v>
      </c>
      <c r="G21" s="1" t="inlineStr">
        <is>
          <t>RMB/KG</t>
        </is>
      </c>
      <c r="H21" s="134" t="n">
        <v>0</v>
      </c>
      <c r="I21" s="1" t="inlineStr">
        <is>
          <t>2026-10-26</t>
        </is>
      </c>
      <c r="J21" s="1" t="inlineStr">
        <is>
          <t>凯琦FBA报价_当期.xlsx</t>
        </is>
      </c>
      <c r="N21" s="1" t="inlineStr">
        <is>
          <t>Y-X1-多伦多海派</t>
        </is>
      </c>
      <c r="P21" s="1" t="inlineStr">
        <is>
          <t>CLT3</t>
        </is>
      </c>
    </row>
    <row r="22">
      <c r="A22" s="1" t="inlineStr">
        <is>
          <t>美西快线</t>
        </is>
      </c>
      <c r="B22" s="1" t="inlineStr">
        <is>
          <t>美西快线</t>
        </is>
      </c>
      <c r="C22" s="1" t="inlineStr">
        <is>
          <t>Y-911专线</t>
        </is>
      </c>
      <c r="D22" s="1" t="inlineStr">
        <is>
          <t>义乌</t>
        </is>
      </c>
      <c r="E22" s="1" t="inlineStr">
        <is>
          <t>SCK4</t>
        </is>
      </c>
      <c r="F22" s="134" t="n">
        <v>14.48</v>
      </c>
      <c r="G22" s="1" t="inlineStr">
        <is>
          <t>RMB/KG</t>
        </is>
      </c>
      <c r="H22" s="134" t="n">
        <v>0</v>
      </c>
      <c r="I22" s="1" t="inlineStr">
        <is>
          <t>2026-10-26</t>
        </is>
      </c>
      <c r="J22" s="1" t="inlineStr">
        <is>
          <t>凯琦FBA报价_当期.xlsx</t>
        </is>
      </c>
      <c r="N22" s="1" t="inlineStr">
        <is>
          <t>Y-X3-专线</t>
        </is>
      </c>
      <c r="P22" s="1" t="inlineStr">
        <is>
          <t>CLT6</t>
        </is>
      </c>
    </row>
    <row r="23">
      <c r="A23" s="1" t="inlineStr">
        <is>
          <t>美西快线</t>
        </is>
      </c>
      <c r="B23" s="1" t="inlineStr">
        <is>
          <t>美西快线</t>
        </is>
      </c>
      <c r="C23" s="1" t="inlineStr">
        <is>
          <t>Y-911专线</t>
        </is>
      </c>
      <c r="D23" s="1" t="inlineStr">
        <is>
          <t>义乌</t>
        </is>
      </c>
      <c r="E23" s="1" t="inlineStr">
        <is>
          <t>TCY1</t>
        </is>
      </c>
      <c r="F23" s="134" t="n">
        <v>14.48</v>
      </c>
      <c r="G23" s="1" t="inlineStr">
        <is>
          <t>RMB/KG</t>
        </is>
      </c>
      <c r="H23" s="134" t="n">
        <v>0</v>
      </c>
      <c r="I23" s="1" t="inlineStr">
        <is>
          <t>2026-10-26</t>
        </is>
      </c>
      <c r="J23" s="1" t="inlineStr">
        <is>
          <t>凯琦FBA报价_当期.xlsx</t>
        </is>
      </c>
      <c r="N23" s="1" t="inlineStr">
        <is>
          <t>Y-X3-海派</t>
        </is>
      </c>
      <c r="P23" s="1" t="inlineStr">
        <is>
          <t>CMH2</t>
        </is>
      </c>
    </row>
    <row r="24">
      <c r="A24" s="1" t="inlineStr">
        <is>
          <t>美西快线</t>
        </is>
      </c>
      <c r="B24" s="1" t="inlineStr">
        <is>
          <t>美西快线</t>
        </is>
      </c>
      <c r="C24" s="1" t="inlineStr">
        <is>
          <t>Y-911专线</t>
        </is>
      </c>
      <c r="D24" s="1" t="inlineStr">
        <is>
          <t>义乌</t>
        </is>
      </c>
      <c r="E24" s="1" t="inlineStr">
        <is>
          <t>TCY2</t>
        </is>
      </c>
      <c r="F24" s="134" t="n">
        <v>14.48</v>
      </c>
      <c r="G24" s="1" t="inlineStr">
        <is>
          <t>RMB/KG</t>
        </is>
      </c>
      <c r="H24" s="134" t="n">
        <v>0</v>
      </c>
      <c r="I24" s="1" t="inlineStr">
        <is>
          <t>2026-10-26</t>
        </is>
      </c>
      <c r="J24" s="1" t="inlineStr">
        <is>
          <t>凯琦FBA报价_当期.xlsx</t>
        </is>
      </c>
      <c r="N24" s="1" t="inlineStr">
        <is>
          <t>Y-X5-专线</t>
        </is>
      </c>
      <c r="P24" s="1" t="inlineStr">
        <is>
          <t>CMH3</t>
        </is>
      </c>
    </row>
    <row r="25">
      <c r="A25" s="1" t="inlineStr">
        <is>
          <t>美西快线</t>
        </is>
      </c>
      <c r="B25" s="1" t="inlineStr">
        <is>
          <t>美西快线</t>
        </is>
      </c>
      <c r="C25" s="1" t="inlineStr">
        <is>
          <t>Y-911专线</t>
        </is>
      </c>
      <c r="D25" s="1" t="inlineStr">
        <is>
          <t>义乌</t>
        </is>
      </c>
      <c r="E25" s="1" t="inlineStr">
        <is>
          <t>QXY8</t>
        </is>
      </c>
      <c r="F25" s="134" t="n">
        <v>14.58</v>
      </c>
      <c r="G25" s="1" t="inlineStr">
        <is>
          <t>RMB/KG</t>
        </is>
      </c>
      <c r="H25" s="134" t="n">
        <v>0</v>
      </c>
      <c r="I25" s="1" t="inlineStr">
        <is>
          <t>2026-10-26</t>
        </is>
      </c>
      <c r="J25" s="1" t="inlineStr">
        <is>
          <t>凯琦FBA报价_当期.xlsx</t>
        </is>
      </c>
      <c r="N25" s="1" t="inlineStr">
        <is>
          <t>Y-X7-专线</t>
        </is>
      </c>
      <c r="P25" s="1" t="inlineStr">
        <is>
          <t>DAL3</t>
        </is>
      </c>
    </row>
    <row r="26">
      <c r="A26" s="1" t="inlineStr">
        <is>
          <t>美西快线</t>
        </is>
      </c>
      <c r="B26" s="1" t="inlineStr">
        <is>
          <t>美西快线</t>
        </is>
      </c>
      <c r="C26" s="1" t="inlineStr">
        <is>
          <t>Y-911专线</t>
        </is>
      </c>
      <c r="D26" s="1" t="inlineStr">
        <is>
          <t>义乌</t>
        </is>
      </c>
      <c r="E26" s="1" t="inlineStr">
        <is>
          <t>ABQ2</t>
        </is>
      </c>
      <c r="F26" s="134" t="n">
        <v>14.78</v>
      </c>
      <c r="G26" s="1" t="inlineStr">
        <is>
          <t>RMB/KG</t>
        </is>
      </c>
      <c r="H26" s="134" t="n">
        <v>0</v>
      </c>
      <c r="I26" s="1" t="inlineStr">
        <is>
          <t>2026-10-26</t>
        </is>
      </c>
      <c r="J26" s="1" t="inlineStr">
        <is>
          <t>凯琦FBA报价_当期.xlsx</t>
        </is>
      </c>
      <c r="N26" s="1" t="inlineStr">
        <is>
          <t>Y-X7-海派</t>
        </is>
      </c>
      <c r="P26" s="1" t="inlineStr">
        <is>
          <t>DCA6</t>
        </is>
      </c>
    </row>
    <row r="27">
      <c r="A27" s="1" t="inlineStr">
        <is>
          <t>美西快线</t>
        </is>
      </c>
      <c r="B27" s="1" t="inlineStr">
        <is>
          <t>美西快线</t>
        </is>
      </c>
      <c r="C27" s="1" t="inlineStr">
        <is>
          <t>Y-911专线</t>
        </is>
      </c>
      <c r="D27" s="1" t="inlineStr">
        <is>
          <t>义乌</t>
        </is>
      </c>
      <c r="E27" s="1" t="inlineStr">
        <is>
          <t>FTW1</t>
        </is>
      </c>
      <c r="F27" s="134" t="n">
        <v>16.28</v>
      </c>
      <c r="G27" s="1" t="inlineStr">
        <is>
          <t>RMB/KG</t>
        </is>
      </c>
      <c r="H27" s="134" t="n">
        <v>0</v>
      </c>
      <c r="I27" s="1" t="inlineStr">
        <is>
          <t>2026-10-26</t>
        </is>
      </c>
      <c r="J27" s="1" t="inlineStr">
        <is>
          <t>凯琦FBA报价_当期.xlsx</t>
        </is>
      </c>
      <c r="N27" s="1" t="inlineStr">
        <is>
          <t>Y-奥克兰快船</t>
        </is>
      </c>
      <c r="P27" s="1" t="inlineStr">
        <is>
          <t>DEN8</t>
        </is>
      </c>
    </row>
    <row r="28">
      <c r="A28" s="1" t="inlineStr">
        <is>
          <t>美西快线</t>
        </is>
      </c>
      <c r="B28" s="1" t="inlineStr">
        <is>
          <t>美西快线</t>
        </is>
      </c>
      <c r="C28" s="1" t="inlineStr">
        <is>
          <t>Y-911专线</t>
        </is>
      </c>
      <c r="D28" s="1" t="inlineStr">
        <is>
          <t>义乌</t>
        </is>
      </c>
      <c r="E28" s="1" t="inlineStr">
        <is>
          <t>IAH3</t>
        </is>
      </c>
      <c r="F28" s="134" t="n">
        <v>16.38</v>
      </c>
      <c r="G28" s="1" t="inlineStr">
        <is>
          <t>RMB/KG</t>
        </is>
      </c>
      <c r="H28" s="134" t="n">
        <v>0</v>
      </c>
      <c r="I28" s="1" t="inlineStr">
        <is>
          <t>2026-10-26</t>
        </is>
      </c>
      <c r="J28" s="1" t="inlineStr">
        <is>
          <t>凯琦FBA报价_当期.xlsx</t>
        </is>
      </c>
      <c r="N28" s="1" t="inlineStr">
        <is>
          <t>Y-快速达</t>
        </is>
      </c>
      <c r="P28" s="1" t="inlineStr">
        <is>
          <t>DET1</t>
        </is>
      </c>
    </row>
    <row r="29">
      <c r="A29" s="1" t="inlineStr">
        <is>
          <t>美西快线</t>
        </is>
      </c>
      <c r="B29" s="1" t="inlineStr">
        <is>
          <t>美西快线</t>
        </is>
      </c>
      <c r="C29" s="1" t="inlineStr">
        <is>
          <t>Y-911专线</t>
        </is>
      </c>
      <c r="D29" s="1" t="inlineStr">
        <is>
          <t>义乌</t>
        </is>
      </c>
      <c r="E29" s="1" t="inlineStr">
        <is>
          <t>MDW2</t>
        </is>
      </c>
      <c r="F29" s="134" t="n">
        <v>17.28</v>
      </c>
      <c r="G29" s="1" t="inlineStr">
        <is>
          <t>RMB/KG</t>
        </is>
      </c>
      <c r="H29" s="134" t="n">
        <v>0</v>
      </c>
      <c r="I29" s="1" t="inlineStr">
        <is>
          <t>2026-10-26</t>
        </is>
      </c>
      <c r="J29" s="1" t="inlineStr">
        <is>
          <t>凯琦FBA报价_当期.xlsx</t>
        </is>
      </c>
      <c r="N29" s="1" t="inlineStr">
        <is>
          <t>Y-快速达海派</t>
        </is>
      </c>
      <c r="P29" s="1" t="inlineStr">
        <is>
          <t>DET2</t>
        </is>
      </c>
    </row>
    <row r="30">
      <c r="A30" s="1" t="inlineStr">
        <is>
          <t>美西快线</t>
        </is>
      </c>
      <c r="B30" s="1" t="inlineStr">
        <is>
          <t>美西快线</t>
        </is>
      </c>
      <c r="C30" s="1" t="inlineStr">
        <is>
          <t>Y-911专线</t>
        </is>
      </c>
      <c r="D30" s="1" t="inlineStr">
        <is>
          <t>义乌</t>
        </is>
      </c>
      <c r="E30" s="1" t="inlineStr">
        <is>
          <t>IND9</t>
        </is>
      </c>
      <c r="F30" s="134" t="n">
        <v>17.58</v>
      </c>
      <c r="G30" s="1" t="inlineStr">
        <is>
          <t>RMB/KG</t>
        </is>
      </c>
      <c r="H30" s="134" t="n">
        <v>0</v>
      </c>
      <c r="I30" s="1" t="inlineStr">
        <is>
          <t>2026-10-26</t>
        </is>
      </c>
      <c r="J30" s="1" t="inlineStr">
        <is>
          <t>凯琦FBA报价_当期.xlsx</t>
        </is>
      </c>
      <c r="N30" s="1" t="inlineStr">
        <is>
          <t>Y-琦速达</t>
        </is>
      </c>
      <c r="P30" s="1" t="inlineStr">
        <is>
          <t>DFW6</t>
        </is>
      </c>
    </row>
    <row r="31">
      <c r="A31" s="1" t="inlineStr">
        <is>
          <t>美西快线</t>
        </is>
      </c>
      <c r="B31" s="1" t="inlineStr">
        <is>
          <t>美西快线</t>
        </is>
      </c>
      <c r="C31" s="1" t="inlineStr">
        <is>
          <t>Y-911专线</t>
        </is>
      </c>
      <c r="D31" s="1" t="inlineStr">
        <is>
          <t>义乌</t>
        </is>
      </c>
      <c r="E31" s="1" t="inlineStr">
        <is>
          <t>FWA4</t>
        </is>
      </c>
      <c r="F31" s="134" t="n">
        <v>17.28</v>
      </c>
      <c r="G31" s="1" t="inlineStr">
        <is>
          <t>RMB/KG</t>
        </is>
      </c>
      <c r="H31" s="134" t="n">
        <v>0</v>
      </c>
      <c r="I31" s="1" t="inlineStr">
        <is>
          <t>2026-10-26</t>
        </is>
      </c>
      <c r="J31" s="1" t="inlineStr">
        <is>
          <t>凯琦FBA报价_当期.xlsx</t>
        </is>
      </c>
      <c r="N31" s="1" t="inlineStr">
        <is>
          <t>Y-琦速达海派</t>
        </is>
      </c>
      <c r="P31" s="1" t="inlineStr">
        <is>
          <t>DFW7</t>
        </is>
      </c>
    </row>
    <row r="32">
      <c r="A32" s="1" t="inlineStr">
        <is>
          <t>美西快线</t>
        </is>
      </c>
      <c r="B32" s="1" t="inlineStr">
        <is>
          <t>美西快线</t>
        </is>
      </c>
      <c r="C32" s="1" t="inlineStr">
        <is>
          <t>Y-911专线</t>
        </is>
      </c>
      <c r="D32" s="1" t="inlineStr">
        <is>
          <t>义乌</t>
        </is>
      </c>
      <c r="E32" s="1" t="inlineStr">
        <is>
          <t>MQJ1</t>
        </is>
      </c>
      <c r="F32" s="134" t="n">
        <v>17.58</v>
      </c>
      <c r="G32" s="1" t="inlineStr">
        <is>
          <t>RMB/KG</t>
        </is>
      </c>
      <c r="H32" s="134" t="n">
        <v>0</v>
      </c>
      <c r="I32" s="1" t="inlineStr">
        <is>
          <t>2026-10-26</t>
        </is>
      </c>
      <c r="J32" s="1" t="inlineStr">
        <is>
          <t>凯琦FBA报价_当期.xlsx</t>
        </is>
      </c>
      <c r="N32" s="1" t="inlineStr">
        <is>
          <t>Y-琦速达芝加哥</t>
        </is>
      </c>
      <c r="P32" s="1" t="inlineStr">
        <is>
          <t>FAT2</t>
        </is>
      </c>
    </row>
    <row r="33">
      <c r="A33" s="1" t="inlineStr">
        <is>
          <t>美西快线</t>
        </is>
      </c>
      <c r="B33" s="1" t="inlineStr">
        <is>
          <t>美西快线</t>
        </is>
      </c>
      <c r="C33" s="1" t="inlineStr">
        <is>
          <t>Y-911专线</t>
        </is>
      </c>
      <c r="D33" s="1" t="inlineStr">
        <is>
          <t>义乌</t>
        </is>
      </c>
      <c r="E33" s="1" t="inlineStr">
        <is>
          <t>MEM1</t>
        </is>
      </c>
      <c r="F33" s="134" t="n">
        <v>16.98</v>
      </c>
      <c r="G33" s="1" t="inlineStr">
        <is>
          <t>RMB/KG</t>
        </is>
      </c>
      <c r="H33" s="134" t="n">
        <v>0</v>
      </c>
      <c r="I33" s="1" t="inlineStr">
        <is>
          <t>2026-10-26</t>
        </is>
      </c>
      <c r="J33" s="1" t="inlineStr">
        <is>
          <t>凯琦FBA报价_当期.xlsx</t>
        </is>
      </c>
      <c r="N33" s="1" t="inlineStr">
        <is>
          <t>Y-纽约快速达</t>
        </is>
      </c>
      <c r="P33" s="1" t="inlineStr">
        <is>
          <t>FOE1</t>
        </is>
      </c>
    </row>
    <row r="34">
      <c r="A34" s="1" t="inlineStr">
        <is>
          <t>美西快线</t>
        </is>
      </c>
      <c r="B34" s="1" t="inlineStr">
        <is>
          <t>美西快线</t>
        </is>
      </c>
      <c r="C34" s="1" t="inlineStr">
        <is>
          <t>Y-911专线</t>
        </is>
      </c>
      <c r="D34" s="1" t="inlineStr">
        <is>
          <t>义乌</t>
        </is>
      </c>
      <c r="E34" s="1" t="inlineStr">
        <is>
          <t>ABE8</t>
        </is>
      </c>
      <c r="F34" s="134" t="n">
        <v>19.08</v>
      </c>
      <c r="G34" s="1" t="inlineStr">
        <is>
          <t>RMB/KG</t>
        </is>
      </c>
      <c r="H34" s="134" t="n">
        <v>0</v>
      </c>
      <c r="I34" s="1" t="inlineStr">
        <is>
          <t>2026-10-26</t>
        </is>
      </c>
      <c r="J34" s="1" t="inlineStr">
        <is>
          <t>凯琦FBA报价_当期.xlsx</t>
        </is>
      </c>
      <c r="N34" s="1" t="inlineStr">
        <is>
          <t>Y15纽约海卡</t>
        </is>
      </c>
      <c r="P34" s="1" t="inlineStr">
        <is>
          <t>FTW1</t>
        </is>
      </c>
    </row>
    <row r="35">
      <c r="A35" s="1" t="inlineStr">
        <is>
          <t>美西快线</t>
        </is>
      </c>
      <c r="B35" s="1" t="inlineStr">
        <is>
          <t>美西快线</t>
        </is>
      </c>
      <c r="C35" s="1" t="inlineStr">
        <is>
          <t>Y-911专线</t>
        </is>
      </c>
      <c r="D35" s="1" t="inlineStr">
        <is>
          <t>义乌</t>
        </is>
      </c>
      <c r="E35" s="1" t="inlineStr">
        <is>
          <t>AVP1</t>
        </is>
      </c>
      <c r="F35" s="134" t="n">
        <v>19.08</v>
      </c>
      <c r="G35" s="1" t="inlineStr">
        <is>
          <t>RMB/KG</t>
        </is>
      </c>
      <c r="H35" s="134" t="n">
        <v>0</v>
      </c>
      <c r="I35" s="1" t="inlineStr">
        <is>
          <t>2026-10-26</t>
        </is>
      </c>
      <c r="J35" s="1" t="inlineStr">
        <is>
          <t>凯琦FBA报价_当期.xlsx</t>
        </is>
      </c>
      <c r="N35" s="1" t="inlineStr">
        <is>
          <t>Y琦速达纽约</t>
        </is>
      </c>
      <c r="P35" s="1" t="inlineStr">
        <is>
          <t>FTW2</t>
        </is>
      </c>
    </row>
    <row r="36">
      <c r="A36" s="1" t="inlineStr">
        <is>
          <t>美西快线</t>
        </is>
      </c>
      <c r="B36" s="1" t="inlineStr">
        <is>
          <t>美西快线</t>
        </is>
      </c>
      <c r="C36" s="1" t="inlineStr">
        <is>
          <t>Y-911专线</t>
        </is>
      </c>
      <c r="D36" s="1" t="inlineStr">
        <is>
          <t>义乌</t>
        </is>
      </c>
      <c r="E36" s="1" t="inlineStr">
        <is>
          <t>CLT2</t>
        </is>
      </c>
      <c r="F36" s="134" t="n">
        <v>18.28</v>
      </c>
      <c r="G36" s="1" t="inlineStr">
        <is>
          <t>RMB/KG</t>
        </is>
      </c>
      <c r="H36" s="134" t="n">
        <v>0</v>
      </c>
      <c r="I36" s="1" t="inlineStr">
        <is>
          <t>2026-10-26</t>
        </is>
      </c>
      <c r="J36" s="1" t="inlineStr">
        <is>
          <t>凯琦FBA报价_当期.xlsx</t>
        </is>
      </c>
      <c r="P36" s="1" t="inlineStr">
        <is>
          <t>FTW5</t>
        </is>
      </c>
    </row>
    <row r="37">
      <c r="A37" s="1" t="inlineStr">
        <is>
          <t>美西快线</t>
        </is>
      </c>
      <c r="B37" s="1" t="inlineStr">
        <is>
          <t>美西快线</t>
        </is>
      </c>
      <c r="C37" s="1" t="inlineStr">
        <is>
          <t>Y-911专线</t>
        </is>
      </c>
      <c r="D37" s="1" t="inlineStr">
        <is>
          <t>义乌</t>
        </is>
      </c>
      <c r="E37" s="1" t="inlineStr">
        <is>
          <t>RMN3</t>
        </is>
      </c>
      <c r="F37" s="134" t="n">
        <v>19.08</v>
      </c>
      <c r="G37" s="1" t="inlineStr">
        <is>
          <t>RMB/KG</t>
        </is>
      </c>
      <c r="H37" s="134" t="n">
        <v>0</v>
      </c>
      <c r="I37" s="1" t="inlineStr">
        <is>
          <t>2026-10-26</t>
        </is>
      </c>
      <c r="J37" s="1" t="inlineStr">
        <is>
          <t>凯琦FBA报价_当期.xlsx</t>
        </is>
      </c>
      <c r="P37" s="1" t="inlineStr">
        <is>
          <t>FTW9</t>
        </is>
      </c>
    </row>
    <row r="38">
      <c r="A38" s="1" t="inlineStr">
        <is>
          <t>美西快线</t>
        </is>
      </c>
      <c r="B38" s="1" t="inlineStr">
        <is>
          <t>美西快线</t>
        </is>
      </c>
      <c r="C38" s="1" t="inlineStr">
        <is>
          <t>Y-911专线</t>
        </is>
      </c>
      <c r="D38" s="1" t="inlineStr">
        <is>
          <t>义乌</t>
        </is>
      </c>
      <c r="E38" s="1" t="inlineStr">
        <is>
          <t>ORF2</t>
        </is>
      </c>
      <c r="F38" s="134" t="n">
        <v>19.08</v>
      </c>
      <c r="G38" s="1" t="inlineStr">
        <is>
          <t>RMB/KG</t>
        </is>
      </c>
      <c r="H38" s="134" t="n">
        <v>0</v>
      </c>
      <c r="I38" s="1" t="inlineStr">
        <is>
          <t>2026-10-26</t>
        </is>
      </c>
      <c r="J38" s="1" t="inlineStr">
        <is>
          <t>凯琦FBA报价_当期.xlsx</t>
        </is>
      </c>
      <c r="P38" s="1" t="inlineStr">
        <is>
          <t>FWA4</t>
        </is>
      </c>
    </row>
    <row r="39">
      <c r="A39" s="1" t="inlineStr">
        <is>
          <t>美西快线</t>
        </is>
      </c>
      <c r="B39" s="1" t="inlineStr">
        <is>
          <t>美西快线</t>
        </is>
      </c>
      <c r="C39" s="1" t="inlineStr">
        <is>
          <t>Y-911专线</t>
        </is>
      </c>
      <c r="D39" s="1" t="inlineStr">
        <is>
          <t>义乌</t>
        </is>
      </c>
      <c r="E39" s="1" t="inlineStr">
        <is>
          <t>RDU2</t>
        </is>
      </c>
      <c r="F39" s="134" t="n">
        <v>18.58</v>
      </c>
      <c r="G39" s="1" t="inlineStr">
        <is>
          <t>RMB/KG</t>
        </is>
      </c>
      <c r="H39" s="134" t="n">
        <v>0</v>
      </c>
      <c r="I39" s="1" t="inlineStr">
        <is>
          <t>2026-10-26</t>
        </is>
      </c>
      <c r="J39" s="1" t="inlineStr">
        <is>
          <t>凯琦FBA报价_当期.xlsx</t>
        </is>
      </c>
      <c r="P39" s="1" t="inlineStr">
        <is>
          <t>GEG2</t>
        </is>
      </c>
    </row>
    <row r="40">
      <c r="A40" s="1" t="inlineStr">
        <is>
          <t>美西快线</t>
        </is>
      </c>
      <c r="B40" s="1" t="inlineStr">
        <is>
          <t>美西快线</t>
        </is>
      </c>
      <c r="C40" s="1" t="inlineStr">
        <is>
          <t>Y-911专线</t>
        </is>
      </c>
      <c r="D40" s="1" t="inlineStr">
        <is>
          <t>义乌</t>
        </is>
      </c>
      <c r="E40" s="1" t="inlineStr">
        <is>
          <t>TEB9</t>
        </is>
      </c>
      <c r="F40" s="134" t="n">
        <v>19.08</v>
      </c>
      <c r="G40" s="1" t="inlineStr">
        <is>
          <t>RMB/KG</t>
        </is>
      </c>
      <c r="H40" s="134" t="n">
        <v>0</v>
      </c>
      <c r="I40" s="1" t="inlineStr">
        <is>
          <t>2026-10-26</t>
        </is>
      </c>
      <c r="J40" s="1" t="inlineStr">
        <is>
          <t>凯琦FBA报价_当期.xlsx</t>
        </is>
      </c>
      <c r="P40" s="1" t="inlineStr">
        <is>
          <t>GEU2</t>
        </is>
      </c>
    </row>
    <row r="41">
      <c r="A41" s="1" t="inlineStr">
        <is>
          <t>美西快线</t>
        </is>
      </c>
      <c r="B41" s="1" t="inlineStr">
        <is>
          <t>美西快线</t>
        </is>
      </c>
      <c r="C41" s="1" t="inlineStr">
        <is>
          <t>Y-911专线</t>
        </is>
      </c>
      <c r="D41" s="1" t="inlineStr">
        <is>
          <t>义乌</t>
        </is>
      </c>
      <c r="E41" s="1" t="inlineStr">
        <is>
          <t>SWF2</t>
        </is>
      </c>
      <c r="F41" s="134" t="n">
        <v>19.08</v>
      </c>
      <c r="G41" s="1" t="inlineStr">
        <is>
          <t>RMB/KG</t>
        </is>
      </c>
      <c r="H41" s="134" t="n">
        <v>0</v>
      </c>
      <c r="I41" s="1" t="inlineStr">
        <is>
          <t>2026-10-26</t>
        </is>
      </c>
      <c r="J41" s="1" t="inlineStr">
        <is>
          <t>凯琦FBA报价_当期.xlsx</t>
        </is>
      </c>
      <c r="P41" s="1" t="inlineStr">
        <is>
          <t>GEU3</t>
        </is>
      </c>
    </row>
    <row r="42">
      <c r="A42" s="1" t="inlineStr">
        <is>
          <t>美西快线</t>
        </is>
      </c>
      <c r="B42" s="1" t="inlineStr">
        <is>
          <t>美西快线</t>
        </is>
      </c>
      <c r="C42" s="1" t="inlineStr">
        <is>
          <t>Y-琦速达</t>
        </is>
      </c>
      <c r="D42" s="1" t="inlineStr">
        <is>
          <t>义乌</t>
        </is>
      </c>
      <c r="E42" s="1" t="inlineStr">
        <is>
          <t>凯琦美西仓</t>
        </is>
      </c>
      <c r="F42" s="134" t="n">
        <v>11.38</v>
      </c>
      <c r="G42" s="1" t="inlineStr">
        <is>
          <t>RMB/KG</t>
        </is>
      </c>
      <c r="H42" s="134" t="n">
        <v>0</v>
      </c>
      <c r="I42" s="1" t="inlineStr">
        <is>
          <t>2026-10-26</t>
        </is>
      </c>
      <c r="J42" s="1" t="inlineStr">
        <is>
          <t>凯琦FBA报价_当期.xlsx</t>
        </is>
      </c>
      <c r="P42" s="1" t="inlineStr">
        <is>
          <t>GSO1</t>
        </is>
      </c>
    </row>
    <row r="43">
      <c r="A43" s="1" t="inlineStr">
        <is>
          <t>美西快线</t>
        </is>
      </c>
      <c r="B43" s="1" t="inlineStr">
        <is>
          <t>美西快线</t>
        </is>
      </c>
      <c r="C43" s="1" t="inlineStr">
        <is>
          <t>Y-琦速达</t>
        </is>
      </c>
      <c r="D43" s="1" t="inlineStr">
        <is>
          <t>义乌</t>
        </is>
      </c>
      <c r="E43" s="1" t="inlineStr">
        <is>
          <t>ONT8</t>
        </is>
      </c>
      <c r="F43" s="134" t="n">
        <v>11.58</v>
      </c>
      <c r="G43" s="1" t="inlineStr">
        <is>
          <t>RMB/KG</t>
        </is>
      </c>
      <c r="H43" s="134" t="n">
        <v>0</v>
      </c>
      <c r="I43" s="1" t="inlineStr">
        <is>
          <t>2026-10-26</t>
        </is>
      </c>
      <c r="J43" s="1" t="inlineStr">
        <is>
          <t>凯琦FBA报价_当期.xlsx</t>
        </is>
      </c>
      <c r="P43" s="1" t="inlineStr">
        <is>
          <t>GYR2</t>
        </is>
      </c>
    </row>
    <row r="44">
      <c r="A44" s="1" t="inlineStr">
        <is>
          <t>美西快线</t>
        </is>
      </c>
      <c r="B44" s="1" t="inlineStr">
        <is>
          <t>美西快线</t>
        </is>
      </c>
      <c r="C44" s="1" t="inlineStr">
        <is>
          <t>Y-琦速达</t>
        </is>
      </c>
      <c r="D44" s="1" t="inlineStr">
        <is>
          <t>义乌</t>
        </is>
      </c>
      <c r="E44" s="1" t="inlineStr">
        <is>
          <t>LGB8</t>
        </is>
      </c>
      <c r="F44" s="134" t="n">
        <v>11.58</v>
      </c>
      <c r="G44" s="1" t="inlineStr">
        <is>
          <t>RMB/KG</t>
        </is>
      </c>
      <c r="H44" s="134" t="n">
        <v>0</v>
      </c>
      <c r="I44" s="1" t="inlineStr">
        <is>
          <t>2026-10-26</t>
        </is>
      </c>
      <c r="J44" s="1" t="inlineStr">
        <is>
          <t>凯琦FBA报价_当期.xlsx</t>
        </is>
      </c>
      <c r="P44" s="1" t="inlineStr">
        <is>
          <t>GYR3</t>
        </is>
      </c>
    </row>
    <row r="45">
      <c r="A45" s="1" t="inlineStr">
        <is>
          <t>美西快线</t>
        </is>
      </c>
      <c r="B45" s="1" t="inlineStr">
        <is>
          <t>美西快线</t>
        </is>
      </c>
      <c r="C45" s="1" t="inlineStr">
        <is>
          <t>Y-琦速达</t>
        </is>
      </c>
      <c r="D45" s="1" t="inlineStr">
        <is>
          <t>义乌</t>
        </is>
      </c>
      <c r="E45" s="1" t="inlineStr">
        <is>
          <t>LAX9</t>
        </is>
      </c>
      <c r="F45" s="134" t="n">
        <v>11.58</v>
      </c>
      <c r="G45" s="1" t="inlineStr">
        <is>
          <t>RMB/KG</t>
        </is>
      </c>
      <c r="H45" s="134" t="n">
        <v>0</v>
      </c>
      <c r="I45" s="1" t="inlineStr">
        <is>
          <t>2026-10-26</t>
        </is>
      </c>
      <c r="J45" s="1" t="inlineStr">
        <is>
          <t>凯琦FBA报价_当期.xlsx</t>
        </is>
      </c>
      <c r="P45" s="1" t="inlineStr">
        <is>
          <t>HEA2</t>
        </is>
      </c>
    </row>
    <row r="46">
      <c r="A46" s="1" t="inlineStr">
        <is>
          <t>美西快线</t>
        </is>
      </c>
      <c r="B46" s="1" t="inlineStr">
        <is>
          <t>美西快线</t>
        </is>
      </c>
      <c r="C46" s="1" t="inlineStr">
        <is>
          <t>Y-琦速达</t>
        </is>
      </c>
      <c r="D46" s="1" t="inlineStr">
        <is>
          <t>义乌</t>
        </is>
      </c>
      <c r="E46" s="1" t="inlineStr">
        <is>
          <t>SBD1</t>
        </is>
      </c>
      <c r="F46" s="134" t="n">
        <v>11.58</v>
      </c>
      <c r="G46" s="1" t="inlineStr">
        <is>
          <t>RMB/KG</t>
        </is>
      </c>
      <c r="H46" s="134" t="n">
        <v>0</v>
      </c>
      <c r="I46" s="1" t="inlineStr">
        <is>
          <t>2026-10-26</t>
        </is>
      </c>
      <c r="J46" s="1" t="inlineStr">
        <is>
          <t>凯琦FBA报价_当期.xlsx</t>
        </is>
      </c>
      <c r="P46" s="1" t="inlineStr">
        <is>
          <t>HGR2</t>
        </is>
      </c>
    </row>
    <row r="47">
      <c r="A47" s="1" t="inlineStr">
        <is>
          <t>美西快线</t>
        </is>
      </c>
      <c r="B47" s="1" t="inlineStr">
        <is>
          <t>美西快线</t>
        </is>
      </c>
      <c r="C47" s="1" t="inlineStr">
        <is>
          <t>Y-琦速达</t>
        </is>
      </c>
      <c r="D47" s="1" t="inlineStr">
        <is>
          <t>义乌</t>
        </is>
      </c>
      <c r="E47" s="1" t="inlineStr">
        <is>
          <t>POC1</t>
        </is>
      </c>
      <c r="F47" s="134" t="n">
        <v>11.88</v>
      </c>
      <c r="G47" s="1" t="inlineStr">
        <is>
          <t>RMB/KG</t>
        </is>
      </c>
      <c r="H47" s="134" t="n">
        <v>0</v>
      </c>
      <c r="I47" s="1" t="inlineStr">
        <is>
          <t>2026-10-26</t>
        </is>
      </c>
      <c r="J47" s="1" t="inlineStr">
        <is>
          <t>凯琦FBA报价_当期.xlsx</t>
        </is>
      </c>
      <c r="P47" s="1" t="inlineStr">
        <is>
          <t>HGR6</t>
        </is>
      </c>
    </row>
    <row r="48">
      <c r="A48" s="1" t="inlineStr">
        <is>
          <t>美西快线</t>
        </is>
      </c>
      <c r="B48" s="1" t="inlineStr">
        <is>
          <t>美西快线</t>
        </is>
      </c>
      <c r="C48" s="1" t="inlineStr">
        <is>
          <t>Y-琦速达</t>
        </is>
      </c>
      <c r="D48" s="1" t="inlineStr">
        <is>
          <t>义乌</t>
        </is>
      </c>
      <c r="E48" s="1" t="inlineStr">
        <is>
          <t>POC2</t>
        </is>
      </c>
      <c r="F48" s="134" t="n">
        <v>11.68</v>
      </c>
      <c r="G48" s="1" t="inlineStr">
        <is>
          <t>RMB/KG</t>
        </is>
      </c>
      <c r="H48" s="134" t="n">
        <v>0</v>
      </c>
      <c r="I48" s="1" t="inlineStr">
        <is>
          <t>2026-10-26</t>
        </is>
      </c>
      <c r="J48" s="1" t="inlineStr">
        <is>
          <t>凯琦FBA报价_当期.xlsx</t>
        </is>
      </c>
      <c r="P48" s="1" t="inlineStr">
        <is>
          <t>HIA1</t>
        </is>
      </c>
    </row>
    <row r="49">
      <c r="A49" s="1" t="inlineStr">
        <is>
          <t>美西快线</t>
        </is>
      </c>
      <c r="B49" s="1" t="inlineStr">
        <is>
          <t>美西快线</t>
        </is>
      </c>
      <c r="C49" s="1" t="inlineStr">
        <is>
          <t>Y-琦速达</t>
        </is>
      </c>
      <c r="D49" s="1" t="inlineStr">
        <is>
          <t>义乌</t>
        </is>
      </c>
      <c r="E49" s="1" t="inlineStr">
        <is>
          <t>POC3</t>
        </is>
      </c>
      <c r="F49" s="134" t="n">
        <v>11.68</v>
      </c>
      <c r="G49" s="1" t="inlineStr">
        <is>
          <t>RMB/KG</t>
        </is>
      </c>
      <c r="H49" s="134" t="n">
        <v>0</v>
      </c>
      <c r="I49" s="1" t="inlineStr">
        <is>
          <t>2026-10-26</t>
        </is>
      </c>
      <c r="J49" s="1" t="inlineStr">
        <is>
          <t>凯琦FBA报价_当期.xlsx</t>
        </is>
      </c>
      <c r="P49" s="1" t="inlineStr">
        <is>
          <t>HLI2</t>
        </is>
      </c>
    </row>
    <row r="50">
      <c r="A50" s="1" t="inlineStr">
        <is>
          <t>美西快线</t>
        </is>
      </c>
      <c r="B50" s="1" t="inlineStr">
        <is>
          <t>美西快线</t>
        </is>
      </c>
      <c r="C50" s="1" t="inlineStr">
        <is>
          <t>Y-琦速达</t>
        </is>
      </c>
      <c r="D50" s="1" t="inlineStr">
        <is>
          <t>义乌</t>
        </is>
      </c>
      <c r="E50" s="1" t="inlineStr">
        <is>
          <t>IUSP</t>
        </is>
      </c>
      <c r="F50" s="134" t="n">
        <v>11.98</v>
      </c>
      <c r="G50" s="1" t="inlineStr">
        <is>
          <t>RMB/KG</t>
        </is>
      </c>
      <c r="H50" s="134" t="n">
        <v>0</v>
      </c>
      <c r="I50" s="1" t="inlineStr">
        <is>
          <t>2026-10-26</t>
        </is>
      </c>
      <c r="J50" s="1" t="inlineStr">
        <is>
          <t>凯琦FBA报价_当期.xlsx</t>
        </is>
      </c>
      <c r="P50" s="1" t="inlineStr">
        <is>
          <t>HOU1</t>
        </is>
      </c>
    </row>
    <row r="51">
      <c r="A51" s="1" t="inlineStr">
        <is>
          <t>美西快线</t>
        </is>
      </c>
      <c r="B51" s="1" t="inlineStr">
        <is>
          <t>美西快线</t>
        </is>
      </c>
      <c r="C51" s="1" t="inlineStr">
        <is>
          <t>Y-琦速达</t>
        </is>
      </c>
      <c r="D51" s="1" t="inlineStr">
        <is>
          <t>义乌</t>
        </is>
      </c>
      <c r="E51" s="1" t="inlineStr">
        <is>
          <t>LGB4</t>
        </is>
      </c>
      <c r="F51" s="134" t="n">
        <v>12.08</v>
      </c>
      <c r="G51" s="1" t="inlineStr">
        <is>
          <t>RMB/KG</t>
        </is>
      </c>
      <c r="H51" s="134" t="n">
        <v>0</v>
      </c>
      <c r="I51" s="1" t="inlineStr">
        <is>
          <t>2026-10-26</t>
        </is>
      </c>
      <c r="J51" s="1" t="inlineStr">
        <is>
          <t>凯琦FBA报价_当期.xlsx</t>
        </is>
      </c>
      <c r="P51" s="1" t="inlineStr">
        <is>
          <t>HOU2</t>
        </is>
      </c>
    </row>
    <row r="52">
      <c r="A52" s="1" t="inlineStr">
        <is>
          <t>美西快线</t>
        </is>
      </c>
      <c r="B52" s="1" t="inlineStr">
        <is>
          <t>美西快线</t>
        </is>
      </c>
      <c r="C52" s="1" t="inlineStr">
        <is>
          <t>Y-琦速达</t>
        </is>
      </c>
      <c r="D52" s="1" t="inlineStr">
        <is>
          <t>义乌</t>
        </is>
      </c>
      <c r="E52" s="1" t="inlineStr">
        <is>
          <t>LGB6</t>
        </is>
      </c>
      <c r="F52" s="134" t="n">
        <v>12.08</v>
      </c>
      <c r="G52" s="1" t="inlineStr">
        <is>
          <t>RMB/KG</t>
        </is>
      </c>
      <c r="H52" s="134" t="n">
        <v>0</v>
      </c>
      <c r="I52" s="1" t="inlineStr">
        <is>
          <t>2026-10-26</t>
        </is>
      </c>
      <c r="J52" s="1" t="inlineStr">
        <is>
          <t>凯琦FBA报价_当期.xlsx</t>
        </is>
      </c>
      <c r="P52" s="1" t="inlineStr">
        <is>
          <t>HOU3</t>
        </is>
      </c>
    </row>
    <row r="53">
      <c r="A53" s="1" t="inlineStr">
        <is>
          <t>美西快线</t>
        </is>
      </c>
      <c r="B53" s="1" t="inlineStr">
        <is>
          <t>美西快线</t>
        </is>
      </c>
      <c r="C53" s="1" t="inlineStr">
        <is>
          <t>Y-琦速达</t>
        </is>
      </c>
      <c r="D53" s="1" t="inlineStr">
        <is>
          <t>义乌</t>
        </is>
      </c>
      <c r="E53" s="1" t="inlineStr">
        <is>
          <t>FAT2</t>
        </is>
      </c>
      <c r="F53" s="134" t="n">
        <v>12.48</v>
      </c>
      <c r="G53" s="1" t="inlineStr">
        <is>
          <t>RMB/KG</t>
        </is>
      </c>
      <c r="H53" s="134" t="n">
        <v>0</v>
      </c>
      <c r="I53" s="1" t="inlineStr">
        <is>
          <t>2026-10-26</t>
        </is>
      </c>
      <c r="J53" s="1" t="inlineStr">
        <is>
          <t>凯琦FBA报价_当期.xlsx</t>
        </is>
      </c>
      <c r="P53" s="1" t="inlineStr">
        <is>
          <t>HOU7</t>
        </is>
      </c>
    </row>
    <row r="54">
      <c r="A54" s="1" t="inlineStr">
        <is>
          <t>美西快线</t>
        </is>
      </c>
      <c r="B54" s="1" t="inlineStr">
        <is>
          <t>美西快线</t>
        </is>
      </c>
      <c r="C54" s="1" t="inlineStr">
        <is>
          <t>Y-琦速达</t>
        </is>
      </c>
      <c r="D54" s="1" t="inlineStr">
        <is>
          <t>义乌</t>
        </is>
      </c>
      <c r="E54" s="1" t="inlineStr">
        <is>
          <t>SNA4</t>
        </is>
      </c>
      <c r="F54" s="134" t="n">
        <v>12.08</v>
      </c>
      <c r="G54" s="1" t="inlineStr">
        <is>
          <t>RMB/KG</t>
        </is>
      </c>
      <c r="H54" s="134" t="n">
        <v>0</v>
      </c>
      <c r="I54" s="1" t="inlineStr">
        <is>
          <t>2026-10-26</t>
        </is>
      </c>
      <c r="J54" s="1" t="inlineStr">
        <is>
          <t>凯琦FBA报价_当期.xlsx</t>
        </is>
      </c>
      <c r="P54" s="1" t="inlineStr">
        <is>
          <t>HOU8</t>
        </is>
      </c>
    </row>
    <row r="55">
      <c r="A55" s="1" t="inlineStr">
        <is>
          <t>美西快线</t>
        </is>
      </c>
      <c r="B55" s="1" t="inlineStr">
        <is>
          <t>美西快线</t>
        </is>
      </c>
      <c r="C55" s="1" t="inlineStr">
        <is>
          <t>Y-琦速达</t>
        </is>
      </c>
      <c r="D55" s="1" t="inlineStr">
        <is>
          <t>义乌</t>
        </is>
      </c>
      <c r="E55" s="1" t="inlineStr">
        <is>
          <t>SBD2</t>
        </is>
      </c>
      <c r="F55" s="134" t="n">
        <v>12.08</v>
      </c>
      <c r="G55" s="1" t="inlineStr">
        <is>
          <t>RMB/KG</t>
        </is>
      </c>
      <c r="H55" s="134" t="n">
        <v>0</v>
      </c>
      <c r="I55" s="1" t="inlineStr">
        <is>
          <t>2026-10-26</t>
        </is>
      </c>
      <c r="J55" s="1" t="inlineStr">
        <is>
          <t>凯琦FBA报价_当期.xlsx</t>
        </is>
      </c>
      <c r="P55" s="1" t="inlineStr">
        <is>
          <t>HSV1</t>
        </is>
      </c>
    </row>
    <row r="56">
      <c r="A56" s="1" t="inlineStr">
        <is>
          <t>美西快线</t>
        </is>
      </c>
      <c r="B56" s="1" t="inlineStr">
        <is>
          <t>美西快线</t>
        </is>
      </c>
      <c r="C56" s="1" t="inlineStr">
        <is>
          <t>Y-琦速达</t>
        </is>
      </c>
      <c r="D56" s="1" t="inlineStr">
        <is>
          <t>义乌</t>
        </is>
      </c>
      <c r="E56" s="1" t="inlineStr">
        <is>
          <t>PSP3</t>
        </is>
      </c>
      <c r="F56" s="134" t="n">
        <v>11.98</v>
      </c>
      <c r="G56" s="1" t="inlineStr">
        <is>
          <t>RMB/KG</t>
        </is>
      </c>
      <c r="H56" s="134" t="n">
        <v>0</v>
      </c>
      <c r="I56" s="1" t="inlineStr">
        <is>
          <t>2026-10-26</t>
        </is>
      </c>
      <c r="J56" s="1" t="inlineStr">
        <is>
          <t>凯琦FBA报价_当期.xlsx</t>
        </is>
      </c>
      <c r="P56" s="1" t="inlineStr">
        <is>
          <t>IAH3</t>
        </is>
      </c>
    </row>
    <row r="57">
      <c r="A57" s="1" t="inlineStr">
        <is>
          <t>美西快线</t>
        </is>
      </c>
      <c r="B57" s="1" t="inlineStr">
        <is>
          <t>美西快线</t>
        </is>
      </c>
      <c r="C57" s="1" t="inlineStr">
        <is>
          <t>Y-琦速达</t>
        </is>
      </c>
      <c r="D57" s="1" t="inlineStr">
        <is>
          <t>义乌</t>
        </is>
      </c>
      <c r="E57" s="1" t="inlineStr">
        <is>
          <t>LAS6</t>
        </is>
      </c>
      <c r="F57" s="134" t="n">
        <v>12.68</v>
      </c>
      <c r="G57" s="1" t="inlineStr">
        <is>
          <t>RMB/KG</t>
        </is>
      </c>
      <c r="H57" s="134" t="n">
        <v>0</v>
      </c>
      <c r="I57" s="1" t="inlineStr">
        <is>
          <t>2026-10-26</t>
        </is>
      </c>
      <c r="J57" s="1" t="inlineStr">
        <is>
          <t>凯琦FBA报价_当期.xlsx</t>
        </is>
      </c>
      <c r="P57" s="1" t="inlineStr">
        <is>
          <t>IAZ1</t>
        </is>
      </c>
    </row>
    <row r="58">
      <c r="A58" s="1" t="inlineStr">
        <is>
          <t>美西快线</t>
        </is>
      </c>
      <c r="B58" s="1" t="inlineStr">
        <is>
          <t>美西快线</t>
        </is>
      </c>
      <c r="C58" s="1" t="inlineStr">
        <is>
          <t>Y-琦速达</t>
        </is>
      </c>
      <c r="D58" s="1" t="inlineStr">
        <is>
          <t>义乌</t>
        </is>
      </c>
      <c r="E58" s="1" t="inlineStr">
        <is>
          <t>MCE1</t>
        </is>
      </c>
      <c r="F58" s="134" t="n">
        <v>12.78</v>
      </c>
      <c r="G58" s="1" t="inlineStr">
        <is>
          <t>RMB/KG</t>
        </is>
      </c>
      <c r="H58" s="134" t="n">
        <v>0</v>
      </c>
      <c r="I58" s="1" t="inlineStr">
        <is>
          <t>2026-10-26</t>
        </is>
      </c>
      <c r="J58" s="1" t="inlineStr">
        <is>
          <t>凯琦FBA报价_当期.xlsx</t>
        </is>
      </c>
      <c r="P58" s="1" t="inlineStr">
        <is>
          <t>ICA3</t>
        </is>
      </c>
    </row>
    <row r="59">
      <c r="A59" s="1" t="inlineStr">
        <is>
          <t>美西快线</t>
        </is>
      </c>
      <c r="B59" s="1" t="inlineStr">
        <is>
          <t>美西快线</t>
        </is>
      </c>
      <c r="C59" s="1" t="inlineStr">
        <is>
          <t>Y-琦速达</t>
        </is>
      </c>
      <c r="D59" s="1" t="inlineStr">
        <is>
          <t>义乌</t>
        </is>
      </c>
      <c r="E59" s="1" t="inlineStr">
        <is>
          <t>PHX5</t>
        </is>
      </c>
      <c r="F59" s="134" t="n">
        <v>12.78</v>
      </c>
      <c r="G59" s="1" t="inlineStr">
        <is>
          <t>RMB/KG</t>
        </is>
      </c>
      <c r="H59" s="134" t="n">
        <v>0</v>
      </c>
      <c r="I59" s="1" t="inlineStr">
        <is>
          <t>2026-10-26</t>
        </is>
      </c>
      <c r="J59" s="1" t="inlineStr">
        <is>
          <t>凯琦FBA报价_当期.xlsx</t>
        </is>
      </c>
      <c r="P59" s="1" t="inlineStr">
        <is>
          <t>ICT2</t>
        </is>
      </c>
    </row>
    <row r="60">
      <c r="A60" s="1" t="inlineStr">
        <is>
          <t>美西快线</t>
        </is>
      </c>
      <c r="B60" s="1" t="inlineStr">
        <is>
          <t>美西快线</t>
        </is>
      </c>
      <c r="C60" s="1" t="inlineStr">
        <is>
          <t>Y-琦速达</t>
        </is>
      </c>
      <c r="D60" s="1" t="inlineStr">
        <is>
          <t>义乌</t>
        </is>
      </c>
      <c r="E60" s="1" t="inlineStr">
        <is>
          <t>PHX7</t>
        </is>
      </c>
      <c r="F60" s="134" t="n">
        <v>12.78</v>
      </c>
      <c r="G60" s="1" t="inlineStr">
        <is>
          <t>RMB/KG</t>
        </is>
      </c>
      <c r="H60" s="134" t="n">
        <v>0</v>
      </c>
      <c r="I60" s="1" t="inlineStr">
        <is>
          <t>2026-10-26</t>
        </is>
      </c>
      <c r="J60" s="1" t="inlineStr">
        <is>
          <t>凯琦FBA报价_当期.xlsx</t>
        </is>
      </c>
      <c r="P60" s="1" t="inlineStr">
        <is>
          <t>IGA3</t>
        </is>
      </c>
    </row>
    <row r="61">
      <c r="A61" s="1" t="inlineStr">
        <is>
          <t>美西快线</t>
        </is>
      </c>
      <c r="B61" s="1" t="inlineStr">
        <is>
          <t>美西快线</t>
        </is>
      </c>
      <c r="C61" s="1" t="inlineStr">
        <is>
          <t>Y-琦速达</t>
        </is>
      </c>
      <c r="D61" s="1" t="inlineStr">
        <is>
          <t>义乌</t>
        </is>
      </c>
      <c r="E61" s="1" t="inlineStr">
        <is>
          <t>LAS1</t>
        </is>
      </c>
      <c r="F61" s="134" t="n">
        <v>12.78</v>
      </c>
      <c r="G61" s="1" t="inlineStr">
        <is>
          <t>RMB/KG</t>
        </is>
      </c>
      <c r="H61" s="134" t="n">
        <v>0</v>
      </c>
      <c r="I61" s="1" t="inlineStr">
        <is>
          <t>2026-10-26</t>
        </is>
      </c>
      <c r="J61" s="1" t="inlineStr">
        <is>
          <t>凯琦FBA报价_当期.xlsx</t>
        </is>
      </c>
      <c r="P61" s="1" t="inlineStr">
        <is>
          <t>IGQ2</t>
        </is>
      </c>
    </row>
    <row r="62">
      <c r="A62" s="1" t="inlineStr">
        <is>
          <t>美西快线</t>
        </is>
      </c>
      <c r="B62" s="1" t="inlineStr">
        <is>
          <t>美西快线</t>
        </is>
      </c>
      <c r="C62" s="1" t="inlineStr">
        <is>
          <t>Y-琦速达</t>
        </is>
      </c>
      <c r="D62" s="1" t="inlineStr">
        <is>
          <t>义乌</t>
        </is>
      </c>
      <c r="E62" s="1" t="inlineStr">
        <is>
          <t>GYR2</t>
        </is>
      </c>
      <c r="F62" s="134" t="n">
        <v>12.48</v>
      </c>
      <c r="G62" s="1" t="inlineStr">
        <is>
          <t>RMB/KG</t>
        </is>
      </c>
      <c r="H62" s="134" t="n">
        <v>0</v>
      </c>
      <c r="I62" s="1" t="inlineStr">
        <is>
          <t>2026-10-26</t>
        </is>
      </c>
      <c r="J62" s="1" t="inlineStr">
        <is>
          <t>凯琦FBA报价_当期.xlsx</t>
        </is>
      </c>
      <c r="P62" s="1" t="inlineStr">
        <is>
          <t>ILG1</t>
        </is>
      </c>
    </row>
    <row r="63">
      <c r="A63" s="1" t="inlineStr">
        <is>
          <t>美西快线</t>
        </is>
      </c>
      <c r="B63" s="1" t="inlineStr">
        <is>
          <t>美西快线</t>
        </is>
      </c>
      <c r="C63" s="1" t="inlineStr">
        <is>
          <t>Y-琦速达</t>
        </is>
      </c>
      <c r="D63" s="1" t="inlineStr">
        <is>
          <t>义乌</t>
        </is>
      </c>
      <c r="E63" s="1" t="inlineStr">
        <is>
          <t>GYR3</t>
        </is>
      </c>
      <c r="F63" s="134" t="n">
        <v>12.48</v>
      </c>
      <c r="G63" s="1" t="inlineStr">
        <is>
          <t>RMB/KG</t>
        </is>
      </c>
      <c r="H63" s="134" t="n">
        <v>0</v>
      </c>
      <c r="I63" s="1" t="inlineStr">
        <is>
          <t>2026-10-26</t>
        </is>
      </c>
      <c r="J63" s="1" t="inlineStr">
        <is>
          <t>凯琦FBA报价_当期.xlsx</t>
        </is>
      </c>
      <c r="P63" s="1" t="inlineStr">
        <is>
          <t>IMI1</t>
        </is>
      </c>
    </row>
    <row r="64">
      <c r="A64" s="1" t="inlineStr">
        <is>
          <t>美西快线</t>
        </is>
      </c>
      <c r="B64" s="1" t="inlineStr">
        <is>
          <t>美西快线</t>
        </is>
      </c>
      <c r="C64" s="1" t="inlineStr">
        <is>
          <t>Y-琦速达</t>
        </is>
      </c>
      <c r="D64" s="1" t="inlineStr">
        <is>
          <t>义乌</t>
        </is>
      </c>
      <c r="E64" s="1" t="inlineStr">
        <is>
          <t>VGT2</t>
        </is>
      </c>
      <c r="F64" s="134" t="n">
        <v>12.48</v>
      </c>
      <c r="G64" s="1" t="inlineStr">
        <is>
          <t>RMB/KG</t>
        </is>
      </c>
      <c r="H64" s="134" t="n">
        <v>0</v>
      </c>
      <c r="I64" s="1" t="inlineStr">
        <is>
          <t>2026-10-26</t>
        </is>
      </c>
      <c r="J64" s="1" t="inlineStr">
        <is>
          <t>凯琦FBA报价_当期.xlsx</t>
        </is>
      </c>
      <c r="P64" s="1" t="inlineStr">
        <is>
          <t>IMO1</t>
        </is>
      </c>
    </row>
    <row r="65">
      <c r="A65" s="1" t="inlineStr">
        <is>
          <t>美西快线</t>
        </is>
      </c>
      <c r="B65" s="1" t="inlineStr">
        <is>
          <t>美西快线</t>
        </is>
      </c>
      <c r="C65" s="1" t="inlineStr">
        <is>
          <t>Y-琦速达</t>
        </is>
      </c>
      <c r="D65" s="1" t="inlineStr">
        <is>
          <t>义乌</t>
        </is>
      </c>
      <c r="E65" s="1" t="inlineStr">
        <is>
          <t>GEU3</t>
        </is>
      </c>
      <c r="F65" s="134" t="n">
        <v>12.48</v>
      </c>
      <c r="G65" s="1" t="inlineStr">
        <is>
          <t>RMB/KG</t>
        </is>
      </c>
      <c r="H65" s="134" t="n">
        <v>0</v>
      </c>
      <c r="I65" s="1" t="inlineStr">
        <is>
          <t>2026-10-26</t>
        </is>
      </c>
      <c r="J65" s="1" t="inlineStr">
        <is>
          <t>凯琦FBA报价_当期.xlsx</t>
        </is>
      </c>
      <c r="P65" s="1" t="inlineStr">
        <is>
          <t>IMS1</t>
        </is>
      </c>
    </row>
    <row r="66">
      <c r="A66" s="1" t="inlineStr">
        <is>
          <t>美西快线</t>
        </is>
      </c>
      <c r="B66" s="1" t="inlineStr">
        <is>
          <t>美西快线</t>
        </is>
      </c>
      <c r="C66" s="1" t="inlineStr">
        <is>
          <t>Y-琦速达</t>
        </is>
      </c>
      <c r="D66" s="1" t="inlineStr">
        <is>
          <t>义乌</t>
        </is>
      </c>
      <c r="E66" s="1" t="inlineStr">
        <is>
          <t>HLI2</t>
        </is>
      </c>
      <c r="F66" s="134" t="n">
        <v>12.68</v>
      </c>
      <c r="G66" s="1" t="inlineStr">
        <is>
          <t>RMB/KG</t>
        </is>
      </c>
      <c r="H66" s="134" t="n">
        <v>0</v>
      </c>
      <c r="I66" s="1" t="inlineStr">
        <is>
          <t>2026-10-26</t>
        </is>
      </c>
      <c r="J66" s="1" t="inlineStr">
        <is>
          <t>凯琦FBA报价_当期.xlsx</t>
        </is>
      </c>
      <c r="P66" s="1" t="inlineStr">
        <is>
          <t>INC1</t>
        </is>
      </c>
    </row>
    <row r="67">
      <c r="A67" s="1" t="inlineStr">
        <is>
          <t>美西快线</t>
        </is>
      </c>
      <c r="B67" s="1" t="inlineStr">
        <is>
          <t>美西快线</t>
        </is>
      </c>
      <c r="C67" s="1" t="inlineStr">
        <is>
          <t>Y-琦速达</t>
        </is>
      </c>
      <c r="D67" s="1" t="inlineStr">
        <is>
          <t>义乌</t>
        </is>
      </c>
      <c r="E67" s="1" t="inlineStr">
        <is>
          <t>MIT2</t>
        </is>
      </c>
      <c r="F67" s="134" t="n">
        <v>12.48</v>
      </c>
      <c r="G67" s="1" t="inlineStr">
        <is>
          <t>RMB/KG</t>
        </is>
      </c>
      <c r="H67" s="134" t="n">
        <v>0</v>
      </c>
      <c r="I67" s="1" t="inlineStr">
        <is>
          <t>2026-10-26</t>
        </is>
      </c>
      <c r="J67" s="1" t="inlineStr">
        <is>
          <t>凯琦FBA报价_当期.xlsx</t>
        </is>
      </c>
      <c r="P67" s="1" t="inlineStr">
        <is>
          <t>IND5</t>
        </is>
      </c>
    </row>
    <row r="68">
      <c r="A68" s="1" t="inlineStr">
        <is>
          <t>美西快线</t>
        </is>
      </c>
      <c r="B68" s="1" t="inlineStr">
        <is>
          <t>美西快线</t>
        </is>
      </c>
      <c r="C68" s="1" t="inlineStr">
        <is>
          <t>Y-琦速达</t>
        </is>
      </c>
      <c r="D68" s="1" t="inlineStr">
        <is>
          <t>义乌</t>
        </is>
      </c>
      <c r="E68" s="1" t="inlineStr">
        <is>
          <t>GEU2</t>
        </is>
      </c>
      <c r="F68" s="134" t="n">
        <v>12.48</v>
      </c>
      <c r="G68" s="1" t="inlineStr">
        <is>
          <t>RMB/KG</t>
        </is>
      </c>
      <c r="H68" s="134" t="n">
        <v>0</v>
      </c>
      <c r="I68" s="1" t="inlineStr">
        <is>
          <t>2026-10-26</t>
        </is>
      </c>
      <c r="J68" s="1" t="inlineStr">
        <is>
          <t>凯琦FBA报价_当期.xlsx</t>
        </is>
      </c>
      <c r="P68" s="1" t="inlineStr">
        <is>
          <t>IND9</t>
        </is>
      </c>
    </row>
    <row r="69">
      <c r="A69" s="1" t="inlineStr">
        <is>
          <t>美西快线</t>
        </is>
      </c>
      <c r="B69" s="1" t="inlineStr">
        <is>
          <t>美西快线</t>
        </is>
      </c>
      <c r="C69" s="1" t="inlineStr">
        <is>
          <t>Y-琦速达</t>
        </is>
      </c>
      <c r="D69" s="1" t="inlineStr">
        <is>
          <t>义乌</t>
        </is>
      </c>
      <c r="E69" s="1" t="inlineStr">
        <is>
          <t>SMF3</t>
        </is>
      </c>
      <c r="F69" s="134" t="n">
        <v>12.68</v>
      </c>
      <c r="G69" s="1" t="inlineStr">
        <is>
          <t>RMB/KG</t>
        </is>
      </c>
      <c r="H69" s="134" t="n">
        <v>0</v>
      </c>
      <c r="I69" s="1" t="inlineStr">
        <is>
          <t>2026-10-26</t>
        </is>
      </c>
      <c r="J69" s="1" t="inlineStr">
        <is>
          <t>凯琦FBA报价_当期.xlsx</t>
        </is>
      </c>
      <c r="P69" s="1" t="inlineStr">
        <is>
          <t>IPA1</t>
        </is>
      </c>
    </row>
    <row r="70">
      <c r="A70" s="1" t="inlineStr">
        <is>
          <t>美西快线</t>
        </is>
      </c>
      <c r="B70" s="1" t="inlineStr">
        <is>
          <t>美西快线</t>
        </is>
      </c>
      <c r="C70" s="1" t="inlineStr">
        <is>
          <t>Y-琦速达</t>
        </is>
      </c>
      <c r="D70" s="1" t="inlineStr">
        <is>
          <t>义乌</t>
        </is>
      </c>
      <c r="E70" s="1" t="inlineStr">
        <is>
          <t>SMF6</t>
        </is>
      </c>
      <c r="F70" s="134" t="n">
        <v>13.38</v>
      </c>
      <c r="G70" s="1" t="inlineStr">
        <is>
          <t>RMB/KG</t>
        </is>
      </c>
      <c r="H70" s="134" t="n">
        <v>0</v>
      </c>
      <c r="I70" s="1" t="inlineStr">
        <is>
          <t>2026-10-26</t>
        </is>
      </c>
      <c r="J70" s="1" t="inlineStr">
        <is>
          <t>凯琦FBA报价_当期.xlsx</t>
        </is>
      </c>
      <c r="P70" s="1" t="inlineStr">
        <is>
          <t>ITX3</t>
        </is>
      </c>
    </row>
    <row r="71">
      <c r="A71" s="1" t="inlineStr">
        <is>
          <t>美西快线</t>
        </is>
      </c>
      <c r="B71" s="1" t="inlineStr">
        <is>
          <t>美西快线</t>
        </is>
      </c>
      <c r="C71" s="1" t="inlineStr">
        <is>
          <t>Y-琦速达</t>
        </is>
      </c>
      <c r="D71" s="1" t="inlineStr">
        <is>
          <t>义乌</t>
        </is>
      </c>
      <c r="E71" s="1" t="inlineStr">
        <is>
          <t>SCK1</t>
        </is>
      </c>
      <c r="F71" s="134" t="n">
        <v>12.88</v>
      </c>
      <c r="G71" s="1" t="inlineStr">
        <is>
          <t>RMB/KG</t>
        </is>
      </c>
      <c r="H71" s="134" t="n">
        <v>0</v>
      </c>
      <c r="I71" s="1" t="inlineStr">
        <is>
          <t>2026-10-26</t>
        </is>
      </c>
      <c r="J71" s="1" t="inlineStr">
        <is>
          <t>凯琦FBA报价_当期.xlsx</t>
        </is>
      </c>
      <c r="P71" s="1" t="inlineStr">
        <is>
          <t>IUSJ</t>
        </is>
      </c>
    </row>
    <row r="72">
      <c r="A72" s="1" t="inlineStr">
        <is>
          <t>美西快线</t>
        </is>
      </c>
      <c r="B72" s="1" t="inlineStr">
        <is>
          <t>美西快线</t>
        </is>
      </c>
      <c r="C72" s="1" t="inlineStr">
        <is>
          <t>Y-琦速达</t>
        </is>
      </c>
      <c r="D72" s="1" t="inlineStr">
        <is>
          <t>义乌</t>
        </is>
      </c>
      <c r="E72" s="1" t="inlineStr">
        <is>
          <t>SCK8</t>
        </is>
      </c>
      <c r="F72" s="134" t="n">
        <v>12.78</v>
      </c>
      <c r="G72" s="1" t="inlineStr">
        <is>
          <t>RMB/KG</t>
        </is>
      </c>
      <c r="H72" s="134" t="n">
        <v>0</v>
      </c>
      <c r="I72" s="1" t="inlineStr">
        <is>
          <t>2026-10-26</t>
        </is>
      </c>
      <c r="J72" s="1" t="inlineStr">
        <is>
          <t>凯琦FBA报价_当期.xlsx</t>
        </is>
      </c>
      <c r="P72" s="1" t="inlineStr">
        <is>
          <t>IUSP</t>
        </is>
      </c>
    </row>
    <row r="73">
      <c r="A73" s="1" t="inlineStr">
        <is>
          <t>美西快线</t>
        </is>
      </c>
      <c r="B73" s="1" t="inlineStr">
        <is>
          <t>美西快线</t>
        </is>
      </c>
      <c r="C73" s="1" t="inlineStr">
        <is>
          <t>Y-琦速达</t>
        </is>
      </c>
      <c r="D73" s="1" t="inlineStr">
        <is>
          <t>义乌</t>
        </is>
      </c>
      <c r="E73" s="1" t="inlineStr">
        <is>
          <t>SCK4</t>
        </is>
      </c>
      <c r="F73" s="134" t="n">
        <v>12.68</v>
      </c>
      <c r="G73" s="1" t="inlineStr">
        <is>
          <t>RMB/KG</t>
        </is>
      </c>
      <c r="H73" s="134" t="n">
        <v>0</v>
      </c>
      <c r="I73" s="1" t="inlineStr">
        <is>
          <t>2026-10-26</t>
        </is>
      </c>
      <c r="J73" s="1" t="inlineStr">
        <is>
          <t>凯琦FBA报价_当期.xlsx</t>
        </is>
      </c>
      <c r="P73" s="1" t="inlineStr">
        <is>
          <t>IUSR</t>
        </is>
      </c>
    </row>
    <row r="74">
      <c r="A74" s="1" t="inlineStr">
        <is>
          <t>美西快线</t>
        </is>
      </c>
      <c r="B74" s="1" t="inlineStr">
        <is>
          <t>美西快线</t>
        </is>
      </c>
      <c r="C74" s="1" t="inlineStr">
        <is>
          <t>Y-琦速达</t>
        </is>
      </c>
      <c r="D74" s="1" t="inlineStr">
        <is>
          <t>义乌</t>
        </is>
      </c>
      <c r="E74" s="1" t="inlineStr">
        <is>
          <t>TCY1</t>
        </is>
      </c>
      <c r="F74" s="134" t="n">
        <v>12.68</v>
      </c>
      <c r="G74" s="1" t="inlineStr">
        <is>
          <t>RMB/KG</t>
        </is>
      </c>
      <c r="H74" s="134" t="n">
        <v>0</v>
      </c>
      <c r="I74" s="1" t="inlineStr">
        <is>
          <t>2026-10-26</t>
        </is>
      </c>
      <c r="J74" s="1" t="inlineStr">
        <is>
          <t>凯琦FBA报价_当期.xlsx</t>
        </is>
      </c>
      <c r="P74" s="1" t="inlineStr">
        <is>
          <t>IUST</t>
        </is>
      </c>
    </row>
    <row r="75">
      <c r="A75" s="1" t="inlineStr">
        <is>
          <t>美西快线</t>
        </is>
      </c>
      <c r="B75" s="1" t="inlineStr">
        <is>
          <t>美西快线</t>
        </is>
      </c>
      <c r="C75" s="1" t="inlineStr">
        <is>
          <t>Y-琦速达</t>
        </is>
      </c>
      <c r="D75" s="1" t="inlineStr">
        <is>
          <t>义乌</t>
        </is>
      </c>
      <c r="E75" s="1" t="inlineStr">
        <is>
          <t>TCY2</t>
        </is>
      </c>
      <c r="F75" s="134" t="n">
        <v>12.68</v>
      </c>
      <c r="G75" s="1" t="inlineStr">
        <is>
          <t>RMB/KG</t>
        </is>
      </c>
      <c r="H75" s="134" t="n">
        <v>0</v>
      </c>
      <c r="I75" s="1" t="inlineStr">
        <is>
          <t>2026-10-26</t>
        </is>
      </c>
      <c r="J75" s="1" t="inlineStr">
        <is>
          <t>凯琦FBA报价_当期.xlsx</t>
        </is>
      </c>
      <c r="P75" s="1" t="inlineStr">
        <is>
          <t>IUTE</t>
        </is>
      </c>
    </row>
    <row r="76">
      <c r="A76" s="1" t="inlineStr">
        <is>
          <t>美西快线</t>
        </is>
      </c>
      <c r="B76" s="1" t="inlineStr">
        <is>
          <t>美西快线</t>
        </is>
      </c>
      <c r="C76" s="1" t="inlineStr">
        <is>
          <t>Y-琦速达</t>
        </is>
      </c>
      <c r="D76" s="1" t="inlineStr">
        <is>
          <t>义乌</t>
        </is>
      </c>
      <c r="E76" s="1" t="inlineStr">
        <is>
          <t>QXY8</t>
        </is>
      </c>
      <c r="F76" s="134" t="n">
        <v>12.78</v>
      </c>
      <c r="G76" s="1" t="inlineStr">
        <is>
          <t>RMB/KG</t>
        </is>
      </c>
      <c r="H76" s="134" t="n">
        <v>0</v>
      </c>
      <c r="I76" s="1" t="inlineStr">
        <is>
          <t>2026-10-26</t>
        </is>
      </c>
      <c r="J76" s="1" t="inlineStr">
        <is>
          <t>凯琦FBA报价_当期.xlsx</t>
        </is>
      </c>
      <c r="P76" s="1" t="inlineStr">
        <is>
          <t>IUTH</t>
        </is>
      </c>
    </row>
    <row r="77">
      <c r="A77" s="1" t="inlineStr">
        <is>
          <t>美西快线</t>
        </is>
      </c>
      <c r="B77" s="1" t="inlineStr">
        <is>
          <t>美西快线</t>
        </is>
      </c>
      <c r="C77" s="1" t="inlineStr">
        <is>
          <t>Y-琦速达</t>
        </is>
      </c>
      <c r="D77" s="1" t="inlineStr">
        <is>
          <t>义乌</t>
        </is>
      </c>
      <c r="E77" s="1" t="inlineStr">
        <is>
          <t>ABQ2</t>
        </is>
      </c>
      <c r="F77" s="134" t="n">
        <v>13.18</v>
      </c>
      <c r="G77" s="1" t="inlineStr">
        <is>
          <t>RMB/KG</t>
        </is>
      </c>
      <c r="H77" s="134" t="n">
        <v>0</v>
      </c>
      <c r="I77" s="1" t="inlineStr">
        <is>
          <t>2026-10-26</t>
        </is>
      </c>
      <c r="J77" s="1" t="inlineStr">
        <is>
          <t>凯琦FBA报价_当期.xlsx</t>
        </is>
      </c>
      <c r="P77" s="1" t="inlineStr">
        <is>
          <t>IUTJ</t>
        </is>
      </c>
    </row>
    <row r="78">
      <c r="A78" s="1" t="inlineStr">
        <is>
          <t>美西快线</t>
        </is>
      </c>
      <c r="B78" s="1" t="inlineStr">
        <is>
          <t>美西快线</t>
        </is>
      </c>
      <c r="C78" s="1" t="inlineStr">
        <is>
          <t>Y-琦速达</t>
        </is>
      </c>
      <c r="D78" s="1" t="inlineStr">
        <is>
          <t>义乌</t>
        </is>
      </c>
      <c r="E78" s="1" t="inlineStr">
        <is>
          <t>MCC1</t>
        </is>
      </c>
      <c r="F78" s="134" t="n">
        <v>12.98</v>
      </c>
      <c r="G78" s="1" t="inlineStr">
        <is>
          <t>RMB/KG</t>
        </is>
      </c>
      <c r="H78" s="134" t="n">
        <v>0</v>
      </c>
      <c r="I78" s="1" t="inlineStr">
        <is>
          <t>2026-10-26</t>
        </is>
      </c>
      <c r="J78" s="1" t="inlineStr">
        <is>
          <t>凯琦FBA报价_当期.xlsx</t>
        </is>
      </c>
      <c r="P78" s="1" t="inlineStr">
        <is>
          <t>IUTL</t>
        </is>
      </c>
    </row>
    <row r="79">
      <c r="A79" s="1" t="inlineStr">
        <is>
          <t>美西快线</t>
        </is>
      </c>
      <c r="B79" s="1" t="inlineStr">
        <is>
          <t>美西快线</t>
        </is>
      </c>
      <c r="C79" s="1" t="inlineStr">
        <is>
          <t>Y-琦速达</t>
        </is>
      </c>
      <c r="D79" s="1" t="inlineStr">
        <is>
          <t>义乌</t>
        </is>
      </c>
      <c r="E79" s="1" t="inlineStr">
        <is>
          <t>SLC2</t>
        </is>
      </c>
      <c r="F79" s="134" t="n">
        <v>13.68</v>
      </c>
      <c r="G79" s="1" t="inlineStr">
        <is>
          <t>RMB/KG</t>
        </is>
      </c>
      <c r="H79" s="134" t="n">
        <v>0</v>
      </c>
      <c r="I79" s="1" t="inlineStr">
        <is>
          <t>2026-10-26</t>
        </is>
      </c>
      <c r="J79" s="1" t="inlineStr">
        <is>
          <t>凯琦FBA报价_当期.xlsx</t>
        </is>
      </c>
      <c r="P79" s="1" t="inlineStr">
        <is>
          <t>IWA6</t>
        </is>
      </c>
    </row>
    <row r="80">
      <c r="A80" s="1" t="inlineStr">
        <is>
          <t>美西快线</t>
        </is>
      </c>
      <c r="B80" s="1" t="inlineStr">
        <is>
          <t>美西快线</t>
        </is>
      </c>
      <c r="C80" s="1" t="inlineStr">
        <is>
          <t>Y-琦速达</t>
        </is>
      </c>
      <c r="D80" s="1" t="inlineStr">
        <is>
          <t>义乌</t>
        </is>
      </c>
      <c r="E80" s="1" t="inlineStr">
        <is>
          <t>FTW1</t>
        </is>
      </c>
      <c r="F80" s="134" t="n">
        <v>14.68</v>
      </c>
      <c r="G80" s="1" t="inlineStr">
        <is>
          <t>RMB/KG</t>
        </is>
      </c>
      <c r="H80" s="134" t="n">
        <v>0</v>
      </c>
      <c r="I80" s="1" t="inlineStr">
        <is>
          <t>2026-10-26</t>
        </is>
      </c>
      <c r="J80" s="1" t="inlineStr">
        <is>
          <t>凯琦FBA报价_当期.xlsx</t>
        </is>
      </c>
      <c r="P80" s="1" t="inlineStr">
        <is>
          <t>JAX3</t>
        </is>
      </c>
    </row>
    <row r="81">
      <c r="A81" s="1" t="inlineStr">
        <is>
          <t>美西快线</t>
        </is>
      </c>
      <c r="B81" s="1" t="inlineStr">
        <is>
          <t>美西快线</t>
        </is>
      </c>
      <c r="C81" s="1" t="inlineStr">
        <is>
          <t>Y-琦速达</t>
        </is>
      </c>
      <c r="D81" s="1" t="inlineStr">
        <is>
          <t>义乌</t>
        </is>
      </c>
      <c r="E81" s="1" t="inlineStr">
        <is>
          <t>IAH3</t>
        </is>
      </c>
      <c r="F81" s="134" t="n">
        <v>14.78</v>
      </c>
      <c r="G81" s="1" t="inlineStr">
        <is>
          <t>RMB/KG</t>
        </is>
      </c>
      <c r="H81" s="134" t="n">
        <v>0</v>
      </c>
      <c r="I81" s="1" t="inlineStr">
        <is>
          <t>2026-10-26</t>
        </is>
      </c>
      <c r="J81" s="1" t="inlineStr">
        <is>
          <t>凯琦FBA报价_当期.xlsx</t>
        </is>
      </c>
      <c r="P81" s="1" t="inlineStr">
        <is>
          <t>JVL1</t>
        </is>
      </c>
    </row>
    <row r="82">
      <c r="A82" s="1" t="inlineStr">
        <is>
          <t>美西快线</t>
        </is>
      </c>
      <c r="B82" s="1" t="inlineStr">
        <is>
          <t>美西快线</t>
        </is>
      </c>
      <c r="C82" s="1" t="inlineStr">
        <is>
          <t>Y-琦速达</t>
        </is>
      </c>
      <c r="D82" s="1" t="inlineStr">
        <is>
          <t>义乌</t>
        </is>
      </c>
      <c r="E82" s="1" t="inlineStr">
        <is>
          <t>BJC1</t>
        </is>
      </c>
      <c r="F82" s="134" t="n">
        <v>14.98</v>
      </c>
      <c r="G82" s="1" t="inlineStr">
        <is>
          <t>RMB/KG</t>
        </is>
      </c>
      <c r="H82" s="134" t="n">
        <v>0</v>
      </c>
      <c r="I82" s="1" t="inlineStr">
        <is>
          <t>2026-10-26</t>
        </is>
      </c>
      <c r="J82" s="1" t="inlineStr">
        <is>
          <t>凯琦FBA报价_当期.xlsx</t>
        </is>
      </c>
      <c r="P82" s="1" t="inlineStr">
        <is>
          <t>LAS1</t>
        </is>
      </c>
    </row>
    <row r="83">
      <c r="A83" s="1" t="inlineStr">
        <is>
          <t>美西快线</t>
        </is>
      </c>
      <c r="B83" s="1" t="inlineStr">
        <is>
          <t>美西快线</t>
        </is>
      </c>
      <c r="C83" s="1" t="inlineStr">
        <is>
          <t>Y-琦速达</t>
        </is>
      </c>
      <c r="D83" s="1" t="inlineStr">
        <is>
          <t>义乌</t>
        </is>
      </c>
      <c r="E83" s="1" t="inlineStr">
        <is>
          <t>DEN8</t>
        </is>
      </c>
      <c r="F83" s="134" t="n">
        <v>14.98</v>
      </c>
      <c r="G83" s="1" t="inlineStr">
        <is>
          <t>RMB/KG</t>
        </is>
      </c>
      <c r="H83" s="134" t="n">
        <v>0</v>
      </c>
      <c r="I83" s="1" t="inlineStr">
        <is>
          <t>2026-10-26</t>
        </is>
      </c>
      <c r="J83" s="1" t="inlineStr">
        <is>
          <t>凯琦FBA报价_当期.xlsx</t>
        </is>
      </c>
      <c r="P83" s="1" t="inlineStr">
        <is>
          <t>LAS6</t>
        </is>
      </c>
    </row>
    <row r="84">
      <c r="A84" s="1" t="inlineStr">
        <is>
          <t>美西快线</t>
        </is>
      </c>
      <c r="B84" s="1" t="inlineStr">
        <is>
          <t>美西快线</t>
        </is>
      </c>
      <c r="C84" s="1" t="inlineStr">
        <is>
          <t>Y-琦速达</t>
        </is>
      </c>
      <c r="D84" s="1" t="inlineStr">
        <is>
          <t>义乌</t>
        </is>
      </c>
      <c r="E84" s="1" t="inlineStr">
        <is>
          <t>MDW2</t>
        </is>
      </c>
      <c r="F84" s="134" t="n">
        <v>15.68</v>
      </c>
      <c r="G84" s="1" t="inlineStr">
        <is>
          <t>RMB/KG</t>
        </is>
      </c>
      <c r="H84" s="134" t="n">
        <v>0</v>
      </c>
      <c r="I84" s="1" t="inlineStr">
        <is>
          <t>2026-10-26</t>
        </is>
      </c>
      <c r="J84" s="1" t="inlineStr">
        <is>
          <t>凯琦FBA报价_当期.xlsx</t>
        </is>
      </c>
      <c r="P84" s="1" t="inlineStr">
        <is>
          <t>LAX9</t>
        </is>
      </c>
    </row>
    <row r="85">
      <c r="A85" s="1" t="inlineStr">
        <is>
          <t>美西快线</t>
        </is>
      </c>
      <c r="B85" s="1" t="inlineStr">
        <is>
          <t>美西快线</t>
        </is>
      </c>
      <c r="C85" s="1" t="inlineStr">
        <is>
          <t>Y-琦速达</t>
        </is>
      </c>
      <c r="D85" s="1" t="inlineStr">
        <is>
          <t>义乌</t>
        </is>
      </c>
      <c r="E85" s="1" t="inlineStr">
        <is>
          <t>IND9</t>
        </is>
      </c>
      <c r="F85" s="134" t="n">
        <v>15.78</v>
      </c>
      <c r="G85" s="1" t="inlineStr">
        <is>
          <t>RMB/KG</t>
        </is>
      </c>
      <c r="H85" s="134" t="n">
        <v>0</v>
      </c>
      <c r="I85" s="1" t="inlineStr">
        <is>
          <t>2026-10-26</t>
        </is>
      </c>
      <c r="J85" s="1" t="inlineStr">
        <is>
          <t>凯琦FBA报价_当期.xlsx</t>
        </is>
      </c>
      <c r="P85" s="1" t="inlineStr">
        <is>
          <t>LBE1</t>
        </is>
      </c>
    </row>
    <row r="86">
      <c r="A86" s="1" t="inlineStr">
        <is>
          <t>美西快线</t>
        </is>
      </c>
      <c r="B86" s="1" t="inlineStr">
        <is>
          <t>美西快线</t>
        </is>
      </c>
      <c r="C86" s="1" t="inlineStr">
        <is>
          <t>Y-琦速达</t>
        </is>
      </c>
      <c r="D86" s="1" t="inlineStr">
        <is>
          <t>义乌</t>
        </is>
      </c>
      <c r="E86" s="1" t="inlineStr">
        <is>
          <t>FWA4</t>
        </is>
      </c>
      <c r="F86" s="134" t="n">
        <v>15.68</v>
      </c>
      <c r="G86" s="1" t="inlineStr">
        <is>
          <t>RMB/KG</t>
        </is>
      </c>
      <c r="H86" s="134" t="n">
        <v>0</v>
      </c>
      <c r="I86" s="1" t="inlineStr">
        <is>
          <t>2026-10-26</t>
        </is>
      </c>
      <c r="J86" s="1" t="inlineStr">
        <is>
          <t>凯琦FBA报价_当期.xlsx</t>
        </is>
      </c>
      <c r="P86" s="1" t="inlineStr">
        <is>
          <t>LFT1</t>
        </is>
      </c>
    </row>
    <row r="87">
      <c r="A87" s="1" t="inlineStr">
        <is>
          <t>美西快线</t>
        </is>
      </c>
      <c r="B87" s="1" t="inlineStr">
        <is>
          <t>美西快线</t>
        </is>
      </c>
      <c r="C87" s="1" t="inlineStr">
        <is>
          <t>Y-琦速达</t>
        </is>
      </c>
      <c r="D87" s="1" t="inlineStr">
        <is>
          <t>义乌</t>
        </is>
      </c>
      <c r="E87" s="1" t="inlineStr">
        <is>
          <t>MQJ1</t>
        </is>
      </c>
      <c r="F87" s="134" t="n">
        <v>15.78</v>
      </c>
      <c r="G87" s="1" t="inlineStr">
        <is>
          <t>RMB/KG</t>
        </is>
      </c>
      <c r="H87" s="134" t="n">
        <v>0</v>
      </c>
      <c r="I87" s="1" t="inlineStr">
        <is>
          <t>2026-10-26</t>
        </is>
      </c>
      <c r="J87" s="1" t="inlineStr">
        <is>
          <t>凯琦FBA报价_当期.xlsx</t>
        </is>
      </c>
      <c r="P87" s="1" t="inlineStr">
        <is>
          <t>LGB4</t>
        </is>
      </c>
    </row>
    <row r="88">
      <c r="A88" s="1" t="inlineStr">
        <is>
          <t>美西快线</t>
        </is>
      </c>
      <c r="B88" s="1" t="inlineStr">
        <is>
          <t>美西快线</t>
        </is>
      </c>
      <c r="C88" s="1" t="inlineStr">
        <is>
          <t>Y-琦速达</t>
        </is>
      </c>
      <c r="D88" s="1" t="inlineStr">
        <is>
          <t>义乌</t>
        </is>
      </c>
      <c r="E88" s="1" t="inlineStr">
        <is>
          <t>MEM1</t>
        </is>
      </c>
      <c r="F88" s="134" t="n">
        <v>15.18</v>
      </c>
      <c r="G88" s="1" t="inlineStr">
        <is>
          <t>RMB/KG</t>
        </is>
      </c>
      <c r="H88" s="134" t="n">
        <v>0</v>
      </c>
      <c r="I88" s="1" t="inlineStr">
        <is>
          <t>2026-10-26</t>
        </is>
      </c>
      <c r="J88" s="1" t="inlineStr">
        <is>
          <t>凯琦FBA报价_当期.xlsx</t>
        </is>
      </c>
      <c r="P88" s="1" t="inlineStr">
        <is>
          <t>LGB6</t>
        </is>
      </c>
    </row>
    <row r="89">
      <c r="A89" s="1" t="inlineStr">
        <is>
          <t>美西快线</t>
        </is>
      </c>
      <c r="B89" s="1" t="inlineStr">
        <is>
          <t>美西快线</t>
        </is>
      </c>
      <c r="C89" s="1" t="inlineStr">
        <is>
          <t>Y-琦速达</t>
        </is>
      </c>
      <c r="D89" s="1" t="inlineStr">
        <is>
          <t>义乌</t>
        </is>
      </c>
      <c r="E89" s="1" t="inlineStr">
        <is>
          <t>RFD2</t>
        </is>
      </c>
      <c r="F89" s="134" t="n">
        <v>15.68</v>
      </c>
      <c r="G89" s="1" t="inlineStr">
        <is>
          <t>RMB/KG</t>
        </is>
      </c>
      <c r="H89" s="134" t="n">
        <v>0</v>
      </c>
      <c r="I89" s="1" t="inlineStr">
        <is>
          <t>2026-10-26</t>
        </is>
      </c>
      <c r="J89" s="1" t="inlineStr">
        <is>
          <t>凯琦FBA报价_当期.xlsx</t>
        </is>
      </c>
      <c r="P89" s="1" t="inlineStr">
        <is>
          <t>LGB8</t>
        </is>
      </c>
    </row>
    <row r="90">
      <c r="A90" s="1" t="inlineStr">
        <is>
          <t>美西快线</t>
        </is>
      </c>
      <c r="B90" s="1" t="inlineStr">
        <is>
          <t>美西快线</t>
        </is>
      </c>
      <c r="C90" s="1" t="inlineStr">
        <is>
          <t>Y-琦速达</t>
        </is>
      </c>
      <c r="D90" s="1" t="inlineStr">
        <is>
          <t>义乌</t>
        </is>
      </c>
      <c r="E90" s="1" t="inlineStr">
        <is>
          <t>PDX7</t>
        </is>
      </c>
      <c r="F90" s="134" t="n">
        <v>15.18</v>
      </c>
      <c r="G90" s="1" t="inlineStr">
        <is>
          <t>RMB/KG</t>
        </is>
      </c>
      <c r="H90" s="134" t="n">
        <v>0</v>
      </c>
      <c r="I90" s="1" t="inlineStr">
        <is>
          <t>2026-10-26</t>
        </is>
      </c>
      <c r="J90" s="1" t="inlineStr">
        <is>
          <t>凯琦FBA报价_当期.xlsx</t>
        </is>
      </c>
      <c r="P90" s="1" t="inlineStr">
        <is>
          <t>LIT2</t>
        </is>
      </c>
    </row>
    <row r="91">
      <c r="A91" s="1" t="inlineStr">
        <is>
          <t>美西快线</t>
        </is>
      </c>
      <c r="B91" s="1" t="inlineStr">
        <is>
          <t>美西快线</t>
        </is>
      </c>
      <c r="C91" s="1" t="inlineStr">
        <is>
          <t>Y-琦速达</t>
        </is>
      </c>
      <c r="D91" s="1" t="inlineStr">
        <is>
          <t>义乌</t>
        </is>
      </c>
      <c r="E91" s="1" t="inlineStr">
        <is>
          <t>GEG2</t>
        </is>
      </c>
      <c r="F91" s="134" t="n">
        <v>16.38</v>
      </c>
      <c r="G91" s="1" t="inlineStr">
        <is>
          <t>RMB/KG</t>
        </is>
      </c>
      <c r="H91" s="134" t="n">
        <v>0</v>
      </c>
      <c r="I91" s="1" t="inlineStr">
        <is>
          <t>2026-10-26</t>
        </is>
      </c>
      <c r="J91" s="1" t="inlineStr">
        <is>
          <t>凯琦FBA报价_当期.xlsx</t>
        </is>
      </c>
      <c r="P91" s="1" t="inlineStr">
        <is>
          <t>MCC1</t>
        </is>
      </c>
    </row>
    <row r="92">
      <c r="A92" s="1" t="inlineStr">
        <is>
          <t>美西快线</t>
        </is>
      </c>
      <c r="B92" s="1" t="inlineStr">
        <is>
          <t>美西快线</t>
        </is>
      </c>
      <c r="C92" s="1" t="inlineStr">
        <is>
          <t>Y-琦速达</t>
        </is>
      </c>
      <c r="D92" s="1" t="inlineStr">
        <is>
          <t>义乌</t>
        </is>
      </c>
      <c r="E92" s="1" t="inlineStr">
        <is>
          <t>ABE8</t>
        </is>
      </c>
      <c r="F92" s="134" t="n">
        <v>16.98</v>
      </c>
      <c r="G92" s="1" t="inlineStr">
        <is>
          <t>RMB/KG</t>
        </is>
      </c>
      <c r="H92" s="134" t="n">
        <v>0</v>
      </c>
      <c r="I92" s="1" t="inlineStr">
        <is>
          <t>2026-10-26</t>
        </is>
      </c>
      <c r="J92" s="1" t="inlineStr">
        <is>
          <t>凯琦FBA报价_当期.xlsx</t>
        </is>
      </c>
      <c r="P92" s="1" t="inlineStr">
        <is>
          <t>MCE1</t>
        </is>
      </c>
    </row>
    <row r="93">
      <c r="A93" s="1" t="inlineStr">
        <is>
          <t>美西快线</t>
        </is>
      </c>
      <c r="B93" s="1" t="inlineStr">
        <is>
          <t>美西快线</t>
        </is>
      </c>
      <c r="C93" s="1" t="inlineStr">
        <is>
          <t>Y-琦速达</t>
        </is>
      </c>
      <c r="D93" s="1" t="inlineStr">
        <is>
          <t>义乌</t>
        </is>
      </c>
      <c r="E93" s="1" t="inlineStr">
        <is>
          <t>AVP1</t>
        </is>
      </c>
      <c r="F93" s="134" t="n">
        <v>16.98</v>
      </c>
      <c r="G93" s="1" t="inlineStr">
        <is>
          <t>RMB/KG</t>
        </is>
      </c>
      <c r="H93" s="134" t="n">
        <v>0</v>
      </c>
      <c r="I93" s="1" t="inlineStr">
        <is>
          <t>2026-10-26</t>
        </is>
      </c>
      <c r="J93" s="1" t="inlineStr">
        <is>
          <t>凯琦FBA报价_当期.xlsx</t>
        </is>
      </c>
      <c r="P93" s="1" t="inlineStr">
        <is>
          <t>MCI4</t>
        </is>
      </c>
    </row>
    <row r="94">
      <c r="A94" s="1" t="inlineStr">
        <is>
          <t>美西快线</t>
        </is>
      </c>
      <c r="B94" s="1" t="inlineStr">
        <is>
          <t>美西快线</t>
        </is>
      </c>
      <c r="C94" s="1" t="inlineStr">
        <is>
          <t>Y-琦速达</t>
        </is>
      </c>
      <c r="D94" s="1" t="inlineStr">
        <is>
          <t>义乌</t>
        </is>
      </c>
      <c r="E94" s="1" t="inlineStr">
        <is>
          <t>CLT2</t>
        </is>
      </c>
      <c r="F94" s="134" t="n">
        <v>16.78</v>
      </c>
      <c r="G94" s="1" t="inlineStr">
        <is>
          <t>RMB/KG</t>
        </is>
      </c>
      <c r="H94" s="134" t="n">
        <v>0</v>
      </c>
      <c r="I94" s="1" t="inlineStr">
        <is>
          <t>2026-10-26</t>
        </is>
      </c>
      <c r="J94" s="1" t="inlineStr">
        <is>
          <t>凯琦FBA报价_当期.xlsx</t>
        </is>
      </c>
      <c r="P94" s="1" t="inlineStr">
        <is>
          <t>MCO2</t>
        </is>
      </c>
    </row>
    <row r="95">
      <c r="A95" s="1" t="inlineStr">
        <is>
          <t>美西快线</t>
        </is>
      </c>
      <c r="B95" s="1" t="inlineStr">
        <is>
          <t>美西快线</t>
        </is>
      </c>
      <c r="C95" s="1" t="inlineStr">
        <is>
          <t>Y-琦速达</t>
        </is>
      </c>
      <c r="D95" s="1" t="inlineStr">
        <is>
          <t>义乌</t>
        </is>
      </c>
      <c r="E95" s="1" t="inlineStr">
        <is>
          <t>RMN3</t>
        </is>
      </c>
      <c r="F95" s="134" t="n">
        <v>16.98</v>
      </c>
      <c r="G95" s="1" t="inlineStr">
        <is>
          <t>RMB/KG</t>
        </is>
      </c>
      <c r="H95" s="134" t="n">
        <v>0</v>
      </c>
      <c r="I95" s="1" t="inlineStr">
        <is>
          <t>2026-10-26</t>
        </is>
      </c>
      <c r="J95" s="1" t="inlineStr">
        <is>
          <t>凯琦FBA报价_当期.xlsx</t>
        </is>
      </c>
      <c r="P95" s="1" t="inlineStr">
        <is>
          <t>MDT1</t>
        </is>
      </c>
    </row>
    <row r="96">
      <c r="A96" s="1" t="inlineStr">
        <is>
          <t>美西快线</t>
        </is>
      </c>
      <c r="B96" s="1" t="inlineStr">
        <is>
          <t>美西快线</t>
        </is>
      </c>
      <c r="C96" s="1" t="inlineStr">
        <is>
          <t>Y-琦速达</t>
        </is>
      </c>
      <c r="D96" s="1" t="inlineStr">
        <is>
          <t>义乌</t>
        </is>
      </c>
      <c r="E96" s="1" t="inlineStr">
        <is>
          <t>ORF2</t>
        </is>
      </c>
      <c r="F96" s="134" t="n">
        <v>16.98</v>
      </c>
      <c r="G96" s="1" t="inlineStr">
        <is>
          <t>RMB/KG</t>
        </is>
      </c>
      <c r="H96" s="134" t="n">
        <v>0</v>
      </c>
      <c r="I96" s="1" t="inlineStr">
        <is>
          <t>2026-10-26</t>
        </is>
      </c>
      <c r="J96" s="1" t="inlineStr">
        <is>
          <t>凯琦FBA报价_当期.xlsx</t>
        </is>
      </c>
      <c r="P96" s="1" t="inlineStr">
        <is>
          <t>MDT4</t>
        </is>
      </c>
    </row>
    <row r="97">
      <c r="A97" s="1" t="inlineStr">
        <is>
          <t>美西快线</t>
        </is>
      </c>
      <c r="B97" s="1" t="inlineStr">
        <is>
          <t>美西快线</t>
        </is>
      </c>
      <c r="C97" s="1" t="inlineStr">
        <is>
          <t>Y-琦速达</t>
        </is>
      </c>
      <c r="D97" s="1" t="inlineStr">
        <is>
          <t>义乌</t>
        </is>
      </c>
      <c r="E97" s="1" t="inlineStr">
        <is>
          <t>RDU2</t>
        </is>
      </c>
      <c r="F97" s="134" t="n">
        <v>17.28</v>
      </c>
      <c r="G97" s="1" t="inlineStr">
        <is>
          <t>RMB/KG</t>
        </is>
      </c>
      <c r="H97" s="134" t="n">
        <v>0</v>
      </c>
      <c r="I97" s="1" t="inlineStr">
        <is>
          <t>2026-10-26</t>
        </is>
      </c>
      <c r="J97" s="1" t="inlineStr">
        <is>
          <t>凯琦FBA报价_当期.xlsx</t>
        </is>
      </c>
      <c r="P97" s="1" t="inlineStr">
        <is>
          <t>MDW2</t>
        </is>
      </c>
    </row>
    <row r="98">
      <c r="A98" s="1" t="inlineStr">
        <is>
          <t>美西快线</t>
        </is>
      </c>
      <c r="B98" s="1" t="inlineStr">
        <is>
          <t>美西快线</t>
        </is>
      </c>
      <c r="C98" s="1" t="inlineStr">
        <is>
          <t>Y-琦速达</t>
        </is>
      </c>
      <c r="D98" s="1" t="inlineStr">
        <is>
          <t>义乌</t>
        </is>
      </c>
      <c r="E98" s="1" t="inlineStr">
        <is>
          <t>TEB9</t>
        </is>
      </c>
      <c r="F98" s="134" t="n">
        <v>16.98</v>
      </c>
      <c r="G98" s="1" t="inlineStr">
        <is>
          <t>RMB/KG</t>
        </is>
      </c>
      <c r="H98" s="134" t="n">
        <v>0</v>
      </c>
      <c r="I98" s="1" t="inlineStr">
        <is>
          <t>2026-10-26</t>
        </is>
      </c>
      <c r="J98" s="1" t="inlineStr">
        <is>
          <t>凯琦FBA报价_当期.xlsx</t>
        </is>
      </c>
      <c r="P98" s="1" t="inlineStr">
        <is>
          <t>MDW6</t>
        </is>
      </c>
    </row>
    <row r="99">
      <c r="A99" s="1" t="inlineStr">
        <is>
          <t>美西快线</t>
        </is>
      </c>
      <c r="B99" s="1" t="inlineStr">
        <is>
          <t>美西快线</t>
        </is>
      </c>
      <c r="C99" s="1" t="inlineStr">
        <is>
          <t>Y-琦速达</t>
        </is>
      </c>
      <c r="D99" s="1" t="inlineStr">
        <is>
          <t>义乌</t>
        </is>
      </c>
      <c r="E99" s="1" t="inlineStr">
        <is>
          <t>SWF2</t>
        </is>
      </c>
      <c r="F99" s="134" t="n">
        <v>17.08</v>
      </c>
      <c r="G99" s="1" t="inlineStr">
        <is>
          <t>RMB/KG</t>
        </is>
      </c>
      <c r="H99" s="134" t="n">
        <v>0</v>
      </c>
      <c r="I99" s="1" t="inlineStr">
        <is>
          <t>2026-10-26</t>
        </is>
      </c>
      <c r="J99" s="1" t="inlineStr">
        <is>
          <t>凯琦FBA报价_当期.xlsx</t>
        </is>
      </c>
      <c r="P99" s="1" t="inlineStr">
        <is>
          <t>MEM1</t>
        </is>
      </c>
    </row>
    <row r="100">
      <c r="A100" s="1" t="inlineStr">
        <is>
          <t>美西快线</t>
        </is>
      </c>
      <c r="B100" s="1" t="inlineStr">
        <is>
          <t>美西快线</t>
        </is>
      </c>
      <c r="C100" s="1" t="inlineStr">
        <is>
          <t>Y-快速达</t>
        </is>
      </c>
      <c r="D100" s="1" t="inlineStr">
        <is>
          <t>义乌</t>
        </is>
      </c>
      <c r="E100" s="1" t="inlineStr">
        <is>
          <t>凯琦美西仓</t>
        </is>
      </c>
      <c r="F100" s="134" t="n">
        <v>10.58</v>
      </c>
      <c r="G100" s="1" t="inlineStr">
        <is>
          <t>RMB/KG</t>
        </is>
      </c>
      <c r="H100" s="134" t="n">
        <v>0</v>
      </c>
      <c r="I100" s="1" t="inlineStr">
        <is>
          <t>2026-10-26</t>
        </is>
      </c>
      <c r="J100" s="1" t="inlineStr">
        <is>
          <t>凯琦FBA报价_当期.xlsx</t>
        </is>
      </c>
      <c r="P100" s="1" t="inlineStr">
        <is>
          <t>MEM8</t>
        </is>
      </c>
    </row>
    <row r="101">
      <c r="A101" s="1" t="inlineStr">
        <is>
          <t>美西快线</t>
        </is>
      </c>
      <c r="B101" s="1" t="inlineStr">
        <is>
          <t>美西快线</t>
        </is>
      </c>
      <c r="C101" s="1" t="inlineStr">
        <is>
          <t>Y-快速达</t>
        </is>
      </c>
      <c r="D101" s="1" t="inlineStr">
        <is>
          <t>义乌</t>
        </is>
      </c>
      <c r="E101" s="1" t="inlineStr">
        <is>
          <t>ONT8</t>
        </is>
      </c>
      <c r="F101" s="134" t="n">
        <v>10.78</v>
      </c>
      <c r="G101" s="1" t="inlineStr">
        <is>
          <t>RMB/KG</t>
        </is>
      </c>
      <c r="H101" s="134" t="n">
        <v>0</v>
      </c>
      <c r="I101" s="1" t="inlineStr">
        <is>
          <t>2026-10-26</t>
        </is>
      </c>
      <c r="J101" s="1" t="inlineStr">
        <is>
          <t>凯琦FBA报价_当期.xlsx</t>
        </is>
      </c>
      <c r="P101" s="1" t="inlineStr">
        <is>
          <t>MGE1</t>
        </is>
      </c>
    </row>
    <row r="102">
      <c r="A102" s="1" t="inlineStr">
        <is>
          <t>美西快线</t>
        </is>
      </c>
      <c r="B102" s="1" t="inlineStr">
        <is>
          <t>美西快线</t>
        </is>
      </c>
      <c r="C102" s="1" t="inlineStr">
        <is>
          <t>Y-快速达</t>
        </is>
      </c>
      <c r="D102" s="1" t="inlineStr">
        <is>
          <t>义乌</t>
        </is>
      </c>
      <c r="E102" s="1" t="inlineStr">
        <is>
          <t>LGB8</t>
        </is>
      </c>
      <c r="F102" s="134" t="n">
        <v>10.78</v>
      </c>
      <c r="G102" s="1" t="inlineStr">
        <is>
          <t>RMB/KG</t>
        </is>
      </c>
      <c r="H102" s="134" t="n">
        <v>0</v>
      </c>
      <c r="I102" s="1" t="inlineStr">
        <is>
          <t>2026-10-26</t>
        </is>
      </c>
      <c r="J102" s="1" t="inlineStr">
        <is>
          <t>凯琦FBA报价_当期.xlsx</t>
        </is>
      </c>
      <c r="P102" s="1" t="inlineStr">
        <is>
          <t>MGE3</t>
        </is>
      </c>
    </row>
    <row r="103">
      <c r="A103" s="1" t="inlineStr">
        <is>
          <t>美西快线</t>
        </is>
      </c>
      <c r="B103" s="1" t="inlineStr">
        <is>
          <t>美西快线</t>
        </is>
      </c>
      <c r="C103" s="1" t="inlineStr">
        <is>
          <t>Y-快速达</t>
        </is>
      </c>
      <c r="D103" s="1" t="inlineStr">
        <is>
          <t>义乌</t>
        </is>
      </c>
      <c r="E103" s="1" t="inlineStr">
        <is>
          <t>LAX9</t>
        </is>
      </c>
      <c r="F103" s="134" t="n">
        <v>10.78</v>
      </c>
      <c r="G103" s="1" t="inlineStr">
        <is>
          <t>RMB/KG</t>
        </is>
      </c>
      <c r="H103" s="134" t="n">
        <v>0</v>
      </c>
      <c r="I103" s="1" t="inlineStr">
        <is>
          <t>2026-10-26</t>
        </is>
      </c>
      <c r="J103" s="1" t="inlineStr">
        <is>
          <t>凯琦FBA报价_当期.xlsx</t>
        </is>
      </c>
      <c r="P103" s="1" t="inlineStr">
        <is>
          <t>MIT2</t>
        </is>
      </c>
    </row>
    <row r="104">
      <c r="A104" s="1" t="inlineStr">
        <is>
          <t>美西快线</t>
        </is>
      </c>
      <c r="B104" s="1" t="inlineStr">
        <is>
          <t>美西快线</t>
        </is>
      </c>
      <c r="C104" s="1" t="inlineStr">
        <is>
          <t>Y-快速达</t>
        </is>
      </c>
      <c r="D104" s="1" t="inlineStr">
        <is>
          <t>义乌</t>
        </is>
      </c>
      <c r="E104" s="1" t="inlineStr">
        <is>
          <t>SBD1</t>
        </is>
      </c>
      <c r="F104" s="134" t="n">
        <v>10.78</v>
      </c>
      <c r="G104" s="1" t="inlineStr">
        <is>
          <t>RMB/KG</t>
        </is>
      </c>
      <c r="H104" s="134" t="n">
        <v>0</v>
      </c>
      <c r="I104" s="1" t="inlineStr">
        <is>
          <t>2026-10-26</t>
        </is>
      </c>
      <c r="J104" s="1" t="inlineStr">
        <is>
          <t>凯琦FBA报价_当期.xlsx</t>
        </is>
      </c>
      <c r="P104" s="1" t="inlineStr">
        <is>
          <t>MKC4</t>
        </is>
      </c>
    </row>
    <row r="105">
      <c r="A105" s="1" t="inlineStr">
        <is>
          <t>美西快线</t>
        </is>
      </c>
      <c r="B105" s="1" t="inlineStr">
        <is>
          <t>美西快线</t>
        </is>
      </c>
      <c r="C105" s="1" t="inlineStr">
        <is>
          <t>Y-快速达</t>
        </is>
      </c>
      <c r="D105" s="1" t="inlineStr">
        <is>
          <t>义乌</t>
        </is>
      </c>
      <c r="E105" s="1" t="inlineStr">
        <is>
          <t>POC1</t>
        </is>
      </c>
      <c r="F105" s="134" t="n">
        <v>11.08</v>
      </c>
      <c r="G105" s="1" t="inlineStr">
        <is>
          <t>RMB/KG</t>
        </is>
      </c>
      <c r="H105" s="134" t="n">
        <v>0</v>
      </c>
      <c r="I105" s="1" t="inlineStr">
        <is>
          <t>2026-10-26</t>
        </is>
      </c>
      <c r="J105" s="1" t="inlineStr">
        <is>
          <t>凯琦FBA报价_当期.xlsx</t>
        </is>
      </c>
      <c r="P105" s="1" t="inlineStr">
        <is>
          <t>MQJ1</t>
        </is>
      </c>
    </row>
    <row r="106">
      <c r="A106" s="1" t="inlineStr">
        <is>
          <t>美西快线</t>
        </is>
      </c>
      <c r="B106" s="1" t="inlineStr">
        <is>
          <t>美西快线</t>
        </is>
      </c>
      <c r="C106" s="1" t="inlineStr">
        <is>
          <t>Y-快速达</t>
        </is>
      </c>
      <c r="D106" s="1" t="inlineStr">
        <is>
          <t>义乌</t>
        </is>
      </c>
      <c r="E106" s="1" t="inlineStr">
        <is>
          <t>POC2</t>
        </is>
      </c>
      <c r="F106" s="134" t="n">
        <v>10.88</v>
      </c>
      <c r="G106" s="1" t="inlineStr">
        <is>
          <t>RMB/KG</t>
        </is>
      </c>
      <c r="H106" s="134" t="n">
        <v>0</v>
      </c>
      <c r="I106" s="1" t="inlineStr">
        <is>
          <t>2026-10-26</t>
        </is>
      </c>
      <c r="J106" s="1" t="inlineStr">
        <is>
          <t>凯琦FBA报价_当期.xlsx</t>
        </is>
      </c>
      <c r="P106" s="1" t="inlineStr">
        <is>
          <t>MQY2</t>
        </is>
      </c>
    </row>
    <row r="107">
      <c r="A107" s="1" t="inlineStr">
        <is>
          <t>美西快线</t>
        </is>
      </c>
      <c r="B107" s="1" t="inlineStr">
        <is>
          <t>美西快线</t>
        </is>
      </c>
      <c r="C107" s="1" t="inlineStr">
        <is>
          <t>Y-快速达</t>
        </is>
      </c>
      <c r="D107" s="1" t="inlineStr">
        <is>
          <t>义乌</t>
        </is>
      </c>
      <c r="E107" s="1" t="inlineStr">
        <is>
          <t>POC3</t>
        </is>
      </c>
      <c r="F107" s="134" t="n">
        <v>11.08</v>
      </c>
      <c r="G107" s="1" t="inlineStr">
        <is>
          <t>RMB/KG</t>
        </is>
      </c>
      <c r="H107" s="134" t="n">
        <v>0</v>
      </c>
      <c r="I107" s="1" t="inlineStr">
        <is>
          <t>2026-10-26</t>
        </is>
      </c>
      <c r="J107" s="1" t="inlineStr">
        <is>
          <t>凯琦FBA报价_当期.xlsx</t>
        </is>
      </c>
      <c r="P107" s="1" t="inlineStr">
        <is>
          <t>OAK3</t>
        </is>
      </c>
    </row>
    <row r="108">
      <c r="A108" s="1" t="inlineStr">
        <is>
          <t>美西快线</t>
        </is>
      </c>
      <c r="B108" s="1" t="inlineStr">
        <is>
          <t>美西快线</t>
        </is>
      </c>
      <c r="C108" s="1" t="inlineStr">
        <is>
          <t>Y-快速达</t>
        </is>
      </c>
      <c r="D108" s="1" t="inlineStr">
        <is>
          <t>义乌</t>
        </is>
      </c>
      <c r="E108" s="1" t="inlineStr">
        <is>
          <t>IUSP</t>
        </is>
      </c>
      <c r="F108" s="134" t="n">
        <v>11.18</v>
      </c>
      <c r="G108" s="1" t="inlineStr">
        <is>
          <t>RMB/KG</t>
        </is>
      </c>
      <c r="H108" s="134" t="n">
        <v>0</v>
      </c>
      <c r="I108" s="1" t="inlineStr">
        <is>
          <t>2026-10-26</t>
        </is>
      </c>
      <c r="J108" s="1" t="inlineStr">
        <is>
          <t>凯琦FBA报价_当期.xlsx</t>
        </is>
      </c>
      <c r="P108" s="1" t="inlineStr">
        <is>
          <t>OKC2</t>
        </is>
      </c>
    </row>
    <row r="109">
      <c r="A109" s="1" t="inlineStr">
        <is>
          <t>美西快线</t>
        </is>
      </c>
      <c r="B109" s="1" t="inlineStr">
        <is>
          <t>美西快线</t>
        </is>
      </c>
      <c r="C109" s="1" t="inlineStr">
        <is>
          <t>Y-快速达</t>
        </is>
      </c>
      <c r="D109" s="1" t="inlineStr">
        <is>
          <t>义乌</t>
        </is>
      </c>
      <c r="E109" s="1" t="inlineStr">
        <is>
          <t>LGB4</t>
        </is>
      </c>
      <c r="F109" s="134" t="n">
        <v>11.28</v>
      </c>
      <c r="G109" s="1" t="inlineStr">
        <is>
          <t>RMB/KG</t>
        </is>
      </c>
      <c r="H109" s="134" t="n">
        <v>0</v>
      </c>
      <c r="I109" s="1" t="inlineStr">
        <is>
          <t>2026-10-26</t>
        </is>
      </c>
      <c r="J109" s="1" t="inlineStr">
        <is>
          <t>凯琦FBA报价_当期.xlsx</t>
        </is>
      </c>
      <c r="P109" s="1" t="inlineStr">
        <is>
          <t>ONT8</t>
        </is>
      </c>
    </row>
    <row r="110">
      <c r="A110" s="1" t="inlineStr">
        <is>
          <t>美西快线</t>
        </is>
      </c>
      <c r="B110" s="1" t="inlineStr">
        <is>
          <t>美西快线</t>
        </is>
      </c>
      <c r="C110" s="1" t="inlineStr">
        <is>
          <t>Y-快速达</t>
        </is>
      </c>
      <c r="D110" s="1" t="inlineStr">
        <is>
          <t>义乌</t>
        </is>
      </c>
      <c r="E110" s="1" t="inlineStr">
        <is>
          <t>LGB6</t>
        </is>
      </c>
      <c r="F110" s="134" t="n">
        <v>11.28</v>
      </c>
      <c r="G110" s="1" t="inlineStr">
        <is>
          <t>RMB/KG</t>
        </is>
      </c>
      <c r="H110" s="134" t="n">
        <v>0</v>
      </c>
      <c r="I110" s="1" t="inlineStr">
        <is>
          <t>2026-10-26</t>
        </is>
      </c>
      <c r="J110" s="1" t="inlineStr">
        <is>
          <t>凯琦FBA报价_当期.xlsx</t>
        </is>
      </c>
      <c r="P110" s="1" t="inlineStr">
        <is>
          <t>ORD2</t>
        </is>
      </c>
    </row>
    <row r="111">
      <c r="A111" s="1" t="inlineStr">
        <is>
          <t>美西快线</t>
        </is>
      </c>
      <c r="B111" s="1" t="inlineStr">
        <is>
          <t>美西快线</t>
        </is>
      </c>
      <c r="C111" s="1" t="inlineStr">
        <is>
          <t>Y-快速达</t>
        </is>
      </c>
      <c r="D111" s="1" t="inlineStr">
        <is>
          <t>义乌</t>
        </is>
      </c>
      <c r="E111" s="1" t="inlineStr">
        <is>
          <t>FAT2</t>
        </is>
      </c>
      <c r="F111" s="134" t="n">
        <v>11.68</v>
      </c>
      <c r="G111" s="1" t="inlineStr">
        <is>
          <t>RMB/KG</t>
        </is>
      </c>
      <c r="H111" s="134" t="n">
        <v>0</v>
      </c>
      <c r="I111" s="1" t="inlineStr">
        <is>
          <t>2026-10-26</t>
        </is>
      </c>
      <c r="J111" s="1" t="inlineStr">
        <is>
          <t>凯琦FBA报价_当期.xlsx</t>
        </is>
      </c>
      <c r="P111" s="1" t="inlineStr">
        <is>
          <t>ORF2</t>
        </is>
      </c>
    </row>
    <row r="112">
      <c r="A112" s="1" t="inlineStr">
        <is>
          <t>美西快线</t>
        </is>
      </c>
      <c r="B112" s="1" t="inlineStr">
        <is>
          <t>美西快线</t>
        </is>
      </c>
      <c r="C112" s="1" t="inlineStr">
        <is>
          <t>Y-快速达</t>
        </is>
      </c>
      <c r="D112" s="1" t="inlineStr">
        <is>
          <t>义乌</t>
        </is>
      </c>
      <c r="E112" s="1" t="inlineStr">
        <is>
          <t>SNA4</t>
        </is>
      </c>
      <c r="F112" s="134" t="n">
        <v>11.28</v>
      </c>
      <c r="G112" s="1" t="inlineStr">
        <is>
          <t>RMB/KG</t>
        </is>
      </c>
      <c r="H112" s="134" t="n">
        <v>0</v>
      </c>
      <c r="I112" s="1" t="inlineStr">
        <is>
          <t>2026-10-26</t>
        </is>
      </c>
      <c r="J112" s="1" t="inlineStr">
        <is>
          <t>凯琦FBA报价_当期.xlsx</t>
        </is>
      </c>
      <c r="P112" s="1" t="inlineStr">
        <is>
          <t>PBI2</t>
        </is>
      </c>
    </row>
    <row r="113">
      <c r="A113" s="1" t="inlineStr">
        <is>
          <t>美西快线</t>
        </is>
      </c>
      <c r="B113" s="1" t="inlineStr">
        <is>
          <t>美西快线</t>
        </is>
      </c>
      <c r="C113" s="1" t="inlineStr">
        <is>
          <t>Y-快速达</t>
        </is>
      </c>
      <c r="D113" s="1" t="inlineStr">
        <is>
          <t>义乌</t>
        </is>
      </c>
      <c r="E113" s="1" t="inlineStr">
        <is>
          <t>SBD2</t>
        </is>
      </c>
      <c r="F113" s="134" t="n">
        <v>11.28</v>
      </c>
      <c r="G113" s="1" t="inlineStr">
        <is>
          <t>RMB/KG</t>
        </is>
      </c>
      <c r="H113" s="134" t="n">
        <v>0</v>
      </c>
      <c r="I113" s="1" t="inlineStr">
        <is>
          <t>2026-10-26</t>
        </is>
      </c>
      <c r="J113" s="1" t="inlineStr">
        <is>
          <t>凯琦FBA报价_当期.xlsx</t>
        </is>
      </c>
      <c r="P113" s="1" t="inlineStr">
        <is>
          <t>PDX7</t>
        </is>
      </c>
    </row>
    <row r="114">
      <c r="A114" s="1" t="inlineStr">
        <is>
          <t>美西快线</t>
        </is>
      </c>
      <c r="B114" s="1" t="inlineStr">
        <is>
          <t>美西快线</t>
        </is>
      </c>
      <c r="C114" s="1" t="inlineStr">
        <is>
          <t>Y-快速达</t>
        </is>
      </c>
      <c r="D114" s="1" t="inlineStr">
        <is>
          <t>义乌</t>
        </is>
      </c>
      <c r="E114" s="1" t="inlineStr">
        <is>
          <t>PSP3</t>
        </is>
      </c>
      <c r="F114" s="134" t="n">
        <v>11.18</v>
      </c>
      <c r="G114" s="1" t="inlineStr">
        <is>
          <t>RMB/KG</t>
        </is>
      </c>
      <c r="H114" s="134" t="n">
        <v>0</v>
      </c>
      <c r="I114" s="1" t="inlineStr">
        <is>
          <t>2026-10-26</t>
        </is>
      </c>
      <c r="J114" s="1" t="inlineStr">
        <is>
          <t>凯琦FBA报价_当期.xlsx</t>
        </is>
      </c>
      <c r="P114" s="1" t="inlineStr">
        <is>
          <t>PHX5</t>
        </is>
      </c>
    </row>
    <row r="115">
      <c r="A115" s="1" t="inlineStr">
        <is>
          <t>美西快线</t>
        </is>
      </c>
      <c r="B115" s="1" t="inlineStr">
        <is>
          <t>美西快线</t>
        </is>
      </c>
      <c r="C115" s="1" t="inlineStr">
        <is>
          <t>Y-快速达</t>
        </is>
      </c>
      <c r="D115" s="1" t="inlineStr">
        <is>
          <t>义乌</t>
        </is>
      </c>
      <c r="E115" s="1" t="inlineStr">
        <is>
          <t>LAS6</t>
        </is>
      </c>
      <c r="F115" s="134" t="n">
        <v>11.88</v>
      </c>
      <c r="G115" s="1" t="inlineStr">
        <is>
          <t>RMB/KG</t>
        </is>
      </c>
      <c r="H115" s="134" t="n">
        <v>0</v>
      </c>
      <c r="I115" s="1" t="inlineStr">
        <is>
          <t>2026-10-26</t>
        </is>
      </c>
      <c r="J115" s="1" t="inlineStr">
        <is>
          <t>凯琦FBA报价_当期.xlsx</t>
        </is>
      </c>
      <c r="P115" s="1" t="inlineStr">
        <is>
          <t>PHX7</t>
        </is>
      </c>
    </row>
    <row r="116">
      <c r="A116" s="1" t="inlineStr">
        <is>
          <t>美西快线</t>
        </is>
      </c>
      <c r="B116" s="1" t="inlineStr">
        <is>
          <t>美西快线</t>
        </is>
      </c>
      <c r="C116" s="1" t="inlineStr">
        <is>
          <t>Y-快速达</t>
        </is>
      </c>
      <c r="D116" s="1" t="inlineStr">
        <is>
          <t>义乌</t>
        </is>
      </c>
      <c r="E116" s="1" t="inlineStr">
        <is>
          <t>MCE1</t>
        </is>
      </c>
      <c r="F116" s="134" t="n">
        <v>11.98</v>
      </c>
      <c r="G116" s="1" t="inlineStr">
        <is>
          <t>RMB/KG</t>
        </is>
      </c>
      <c r="H116" s="134" t="n">
        <v>0</v>
      </c>
      <c r="I116" s="1" t="inlineStr">
        <is>
          <t>2026-10-26</t>
        </is>
      </c>
      <c r="J116" s="1" t="inlineStr">
        <is>
          <t>凯琦FBA报价_当期.xlsx</t>
        </is>
      </c>
      <c r="P116" s="1" t="inlineStr">
        <is>
          <t>PIT2</t>
        </is>
      </c>
    </row>
    <row r="117">
      <c r="A117" s="1" t="inlineStr">
        <is>
          <t>美西快线</t>
        </is>
      </c>
      <c r="B117" s="1" t="inlineStr">
        <is>
          <t>美西快线</t>
        </is>
      </c>
      <c r="C117" s="1" t="inlineStr">
        <is>
          <t>Y-快速达</t>
        </is>
      </c>
      <c r="D117" s="1" t="inlineStr">
        <is>
          <t>义乌</t>
        </is>
      </c>
      <c r="E117" s="1" t="inlineStr">
        <is>
          <t>PHX5</t>
        </is>
      </c>
      <c r="F117" s="134" t="n">
        <v>12.08</v>
      </c>
      <c r="G117" s="1" t="inlineStr">
        <is>
          <t>RMB/KG</t>
        </is>
      </c>
      <c r="H117" s="134" t="n">
        <v>0</v>
      </c>
      <c r="I117" s="1" t="inlineStr">
        <is>
          <t>2026-10-26</t>
        </is>
      </c>
      <c r="J117" s="1" t="inlineStr">
        <is>
          <t>凯琦FBA报价_当期.xlsx</t>
        </is>
      </c>
      <c r="P117" s="1" t="inlineStr">
        <is>
          <t>POC1</t>
        </is>
      </c>
    </row>
    <row r="118">
      <c r="A118" s="1" t="inlineStr">
        <is>
          <t>美西快线</t>
        </is>
      </c>
      <c r="B118" s="1" t="inlineStr">
        <is>
          <t>美西快线</t>
        </is>
      </c>
      <c r="C118" s="1" t="inlineStr">
        <is>
          <t>Y-快速达</t>
        </is>
      </c>
      <c r="D118" s="1" t="inlineStr">
        <is>
          <t>义乌</t>
        </is>
      </c>
      <c r="E118" s="1" t="inlineStr">
        <is>
          <t>PHX7</t>
        </is>
      </c>
      <c r="F118" s="134" t="n">
        <v>12.08</v>
      </c>
      <c r="G118" s="1" t="inlineStr">
        <is>
          <t>RMB/KG</t>
        </is>
      </c>
      <c r="H118" s="134" t="n">
        <v>0</v>
      </c>
      <c r="I118" s="1" t="inlineStr">
        <is>
          <t>2026-10-26</t>
        </is>
      </c>
      <c r="J118" s="1" t="inlineStr">
        <is>
          <t>凯琦FBA报价_当期.xlsx</t>
        </is>
      </c>
      <c r="P118" s="1" t="inlineStr">
        <is>
          <t>POC2</t>
        </is>
      </c>
    </row>
    <row r="119">
      <c r="A119" s="1" t="inlineStr">
        <is>
          <t>美西快线</t>
        </is>
      </c>
      <c r="B119" s="1" t="inlineStr">
        <is>
          <t>美西快线</t>
        </is>
      </c>
      <c r="C119" s="1" t="inlineStr">
        <is>
          <t>Y-快速达</t>
        </is>
      </c>
      <c r="D119" s="1" t="inlineStr">
        <is>
          <t>义乌</t>
        </is>
      </c>
      <c r="E119" s="1" t="inlineStr">
        <is>
          <t>LAS1</t>
        </is>
      </c>
      <c r="F119" s="134" t="n">
        <v>11.98</v>
      </c>
      <c r="G119" s="1" t="inlineStr">
        <is>
          <t>RMB/KG</t>
        </is>
      </c>
      <c r="H119" s="134" t="n">
        <v>0</v>
      </c>
      <c r="I119" s="1" t="inlineStr">
        <is>
          <t>2026-10-26</t>
        </is>
      </c>
      <c r="J119" s="1" t="inlineStr">
        <is>
          <t>凯琦FBA报价_当期.xlsx</t>
        </is>
      </c>
      <c r="P119" s="1" t="inlineStr">
        <is>
          <t>POC3</t>
        </is>
      </c>
    </row>
    <row r="120">
      <c r="A120" s="1" t="inlineStr">
        <is>
          <t>美西快线</t>
        </is>
      </c>
      <c r="B120" s="1" t="inlineStr">
        <is>
          <t>美西快线</t>
        </is>
      </c>
      <c r="C120" s="1" t="inlineStr">
        <is>
          <t>Y-快速达</t>
        </is>
      </c>
      <c r="D120" s="1" t="inlineStr">
        <is>
          <t>义乌</t>
        </is>
      </c>
      <c r="E120" s="1" t="inlineStr">
        <is>
          <t>GYR2</t>
        </is>
      </c>
      <c r="F120" s="134" t="n">
        <v>11.68</v>
      </c>
      <c r="G120" s="1" t="inlineStr">
        <is>
          <t>RMB/KG</t>
        </is>
      </c>
      <c r="H120" s="134" t="n">
        <v>0</v>
      </c>
      <c r="I120" s="1" t="inlineStr">
        <is>
          <t>2026-10-26</t>
        </is>
      </c>
      <c r="J120" s="1" t="inlineStr">
        <is>
          <t>凯琦FBA报价_当期.xlsx</t>
        </is>
      </c>
      <c r="P120" s="1" t="inlineStr">
        <is>
          <t>PSP3</t>
        </is>
      </c>
    </row>
    <row r="121">
      <c r="A121" s="1" t="inlineStr">
        <is>
          <t>美西快线</t>
        </is>
      </c>
      <c r="B121" s="1" t="inlineStr">
        <is>
          <t>美西快线</t>
        </is>
      </c>
      <c r="C121" s="1" t="inlineStr">
        <is>
          <t>Y-快速达</t>
        </is>
      </c>
      <c r="D121" s="1" t="inlineStr">
        <is>
          <t>义乌</t>
        </is>
      </c>
      <c r="E121" s="1" t="inlineStr">
        <is>
          <t>GYR3</t>
        </is>
      </c>
      <c r="F121" s="134" t="n">
        <v>11.68</v>
      </c>
      <c r="G121" s="1" t="inlineStr">
        <is>
          <t>RMB/KG</t>
        </is>
      </c>
      <c r="H121" s="134" t="n">
        <v>0</v>
      </c>
      <c r="I121" s="1" t="inlineStr">
        <is>
          <t>2026-10-26</t>
        </is>
      </c>
      <c r="J121" s="1" t="inlineStr">
        <is>
          <t>凯琦FBA报价_当期.xlsx</t>
        </is>
      </c>
      <c r="P121" s="1" t="inlineStr">
        <is>
          <t>QXY8</t>
        </is>
      </c>
    </row>
    <row r="122">
      <c r="A122" s="1" t="inlineStr">
        <is>
          <t>美西快线</t>
        </is>
      </c>
      <c r="B122" s="1" t="inlineStr">
        <is>
          <t>美西快线</t>
        </is>
      </c>
      <c r="C122" s="1" t="inlineStr">
        <is>
          <t>Y-快速达</t>
        </is>
      </c>
      <c r="D122" s="1" t="inlineStr">
        <is>
          <t>义乌</t>
        </is>
      </c>
      <c r="E122" s="1" t="inlineStr">
        <is>
          <t>VGT2</t>
        </is>
      </c>
      <c r="F122" s="134" t="n">
        <v>11.68</v>
      </c>
      <c r="G122" s="1" t="inlineStr">
        <is>
          <t>RMB/KG</t>
        </is>
      </c>
      <c r="H122" s="134" t="n">
        <v>0</v>
      </c>
      <c r="I122" s="1" t="inlineStr">
        <is>
          <t>2026-10-26</t>
        </is>
      </c>
      <c r="J122" s="1" t="inlineStr">
        <is>
          <t>凯琦FBA报价_当期.xlsx</t>
        </is>
      </c>
      <c r="P122" s="1" t="inlineStr">
        <is>
          <t>RDU2</t>
        </is>
      </c>
    </row>
    <row r="123">
      <c r="A123" s="1" t="inlineStr">
        <is>
          <t>美西快线</t>
        </is>
      </c>
      <c r="B123" s="1" t="inlineStr">
        <is>
          <t>美西快线</t>
        </is>
      </c>
      <c r="C123" s="1" t="inlineStr">
        <is>
          <t>Y-快速达</t>
        </is>
      </c>
      <c r="D123" s="1" t="inlineStr">
        <is>
          <t>义乌</t>
        </is>
      </c>
      <c r="E123" s="1" t="inlineStr">
        <is>
          <t>GEU3</t>
        </is>
      </c>
      <c r="F123" s="134" t="n">
        <v>11.68</v>
      </c>
      <c r="G123" s="1" t="inlineStr">
        <is>
          <t>RMB/KG</t>
        </is>
      </c>
      <c r="H123" s="134" t="n">
        <v>0</v>
      </c>
      <c r="I123" s="1" t="inlineStr">
        <is>
          <t>2026-10-26</t>
        </is>
      </c>
      <c r="J123" s="1" t="inlineStr">
        <is>
          <t>凯琦FBA报价_当期.xlsx</t>
        </is>
      </c>
      <c r="P123" s="1" t="inlineStr">
        <is>
          <t>RFD2</t>
        </is>
      </c>
    </row>
    <row r="124">
      <c r="A124" s="1" t="inlineStr">
        <is>
          <t>美西快线</t>
        </is>
      </c>
      <c r="B124" s="1" t="inlineStr">
        <is>
          <t>美西快线</t>
        </is>
      </c>
      <c r="C124" s="1" t="inlineStr">
        <is>
          <t>Y-快速达</t>
        </is>
      </c>
      <c r="D124" s="1" t="inlineStr">
        <is>
          <t>义乌</t>
        </is>
      </c>
      <c r="E124" s="1" t="inlineStr">
        <is>
          <t>HLI2</t>
        </is>
      </c>
      <c r="F124" s="134" t="n">
        <v>11.98</v>
      </c>
      <c r="G124" s="1" t="inlineStr">
        <is>
          <t>RMB/KG</t>
        </is>
      </c>
      <c r="H124" s="134" t="n">
        <v>0</v>
      </c>
      <c r="I124" s="1" t="inlineStr">
        <is>
          <t>2026-10-26</t>
        </is>
      </c>
      <c r="J124" s="1" t="inlineStr">
        <is>
          <t>凯琦FBA报价_当期.xlsx</t>
        </is>
      </c>
      <c r="P124" s="1" t="inlineStr">
        <is>
          <t>RFD4</t>
        </is>
      </c>
    </row>
    <row r="125">
      <c r="A125" s="1" t="inlineStr">
        <is>
          <t>美西快线</t>
        </is>
      </c>
      <c r="B125" s="1" t="inlineStr">
        <is>
          <t>美西快线</t>
        </is>
      </c>
      <c r="C125" s="1" t="inlineStr">
        <is>
          <t>Y-快速达</t>
        </is>
      </c>
      <c r="D125" s="1" t="inlineStr">
        <is>
          <t>义乌</t>
        </is>
      </c>
      <c r="E125" s="1" t="inlineStr">
        <is>
          <t>MIT2</t>
        </is>
      </c>
      <c r="F125" s="134" t="n">
        <v>11.68</v>
      </c>
      <c r="G125" s="1" t="inlineStr">
        <is>
          <t>RMB/KG</t>
        </is>
      </c>
      <c r="H125" s="134" t="n">
        <v>0</v>
      </c>
      <c r="I125" s="1" t="inlineStr">
        <is>
          <t>2026-10-26</t>
        </is>
      </c>
      <c r="J125" s="1" t="inlineStr">
        <is>
          <t>凯琦FBA报价_当期.xlsx</t>
        </is>
      </c>
      <c r="P125" s="1" t="inlineStr">
        <is>
          <t>RMN3</t>
        </is>
      </c>
    </row>
    <row r="126">
      <c r="A126" s="1" t="inlineStr">
        <is>
          <t>美西快线</t>
        </is>
      </c>
      <c r="B126" s="1" t="inlineStr">
        <is>
          <t>美西快线</t>
        </is>
      </c>
      <c r="C126" s="1" t="inlineStr">
        <is>
          <t>Y-快速达</t>
        </is>
      </c>
      <c r="D126" s="1" t="inlineStr">
        <is>
          <t>义乌</t>
        </is>
      </c>
      <c r="E126" s="1" t="inlineStr">
        <is>
          <t>GEU2</t>
        </is>
      </c>
      <c r="F126" s="134" t="n">
        <v>11.68</v>
      </c>
      <c r="G126" s="1" t="inlineStr">
        <is>
          <t>RMB/KG</t>
        </is>
      </c>
      <c r="H126" s="134" t="n">
        <v>0</v>
      </c>
      <c r="I126" s="1" t="inlineStr">
        <is>
          <t>2026-10-26</t>
        </is>
      </c>
      <c r="J126" s="1" t="inlineStr">
        <is>
          <t>凯琦FBA报价_当期.xlsx</t>
        </is>
      </c>
      <c r="P126" s="1" t="inlineStr">
        <is>
          <t>RYY2</t>
        </is>
      </c>
    </row>
    <row r="127">
      <c r="A127" s="1" t="inlineStr">
        <is>
          <t>美西快线</t>
        </is>
      </c>
      <c r="B127" s="1" t="inlineStr">
        <is>
          <t>美西快线</t>
        </is>
      </c>
      <c r="C127" s="1" t="inlineStr">
        <is>
          <t>Y-快速达</t>
        </is>
      </c>
      <c r="D127" s="1" t="inlineStr">
        <is>
          <t>义乌</t>
        </is>
      </c>
      <c r="E127" s="1" t="inlineStr">
        <is>
          <t>SMF3</t>
        </is>
      </c>
      <c r="F127" s="134" t="n">
        <v>11.98</v>
      </c>
      <c r="G127" s="1" t="inlineStr">
        <is>
          <t>RMB/KG</t>
        </is>
      </c>
      <c r="H127" s="134" t="n">
        <v>0</v>
      </c>
      <c r="I127" s="1" t="inlineStr">
        <is>
          <t>2026-10-26</t>
        </is>
      </c>
      <c r="J127" s="1" t="inlineStr">
        <is>
          <t>凯琦FBA报价_当期.xlsx</t>
        </is>
      </c>
      <c r="P127" s="1" t="inlineStr">
        <is>
          <t>SAT1</t>
        </is>
      </c>
    </row>
    <row r="128">
      <c r="A128" s="1" t="inlineStr">
        <is>
          <t>美西快线</t>
        </is>
      </c>
      <c r="B128" s="1" t="inlineStr">
        <is>
          <t>美西快线</t>
        </is>
      </c>
      <c r="C128" s="1" t="inlineStr">
        <is>
          <t>Y-快速达</t>
        </is>
      </c>
      <c r="D128" s="1" t="inlineStr">
        <is>
          <t>义乌</t>
        </is>
      </c>
      <c r="E128" s="1" t="inlineStr">
        <is>
          <t>SMF6</t>
        </is>
      </c>
      <c r="F128" s="134" t="n">
        <v>12.68</v>
      </c>
      <c r="G128" s="1" t="inlineStr">
        <is>
          <t>RMB/KG</t>
        </is>
      </c>
      <c r="H128" s="134" t="n">
        <v>0</v>
      </c>
      <c r="I128" s="1" t="inlineStr">
        <is>
          <t>2026-10-26</t>
        </is>
      </c>
      <c r="J128" s="1" t="inlineStr">
        <is>
          <t>凯琦FBA报价_当期.xlsx</t>
        </is>
      </c>
      <c r="P128" s="1" t="inlineStr">
        <is>
          <t>SAT4</t>
        </is>
      </c>
    </row>
    <row r="129">
      <c r="A129" s="1" t="inlineStr">
        <is>
          <t>美西快线</t>
        </is>
      </c>
      <c r="B129" s="1" t="inlineStr">
        <is>
          <t>美西快线</t>
        </is>
      </c>
      <c r="C129" s="1" t="inlineStr">
        <is>
          <t>Y-快速达</t>
        </is>
      </c>
      <c r="D129" s="1" t="inlineStr">
        <is>
          <t>义乌</t>
        </is>
      </c>
      <c r="E129" s="1" t="inlineStr">
        <is>
          <t>SCK1</t>
        </is>
      </c>
      <c r="F129" s="134" t="n">
        <v>12.18</v>
      </c>
      <c r="G129" s="1" t="inlineStr">
        <is>
          <t>RMB/KG</t>
        </is>
      </c>
      <c r="H129" s="134" t="n">
        <v>0</v>
      </c>
      <c r="I129" s="1" t="inlineStr">
        <is>
          <t>2026-10-26</t>
        </is>
      </c>
      <c r="J129" s="1" t="inlineStr">
        <is>
          <t>凯琦FBA报价_当期.xlsx</t>
        </is>
      </c>
      <c r="P129" s="1" t="inlineStr">
        <is>
          <t>SAT6</t>
        </is>
      </c>
    </row>
    <row r="130">
      <c r="A130" s="1" t="inlineStr">
        <is>
          <t>美西快线</t>
        </is>
      </c>
      <c r="B130" s="1" t="inlineStr">
        <is>
          <t>美西快线</t>
        </is>
      </c>
      <c r="C130" s="1" t="inlineStr">
        <is>
          <t>Y-快速达</t>
        </is>
      </c>
      <c r="D130" s="1" t="inlineStr">
        <is>
          <t>义乌</t>
        </is>
      </c>
      <c r="E130" s="1" t="inlineStr">
        <is>
          <t>SCK8</t>
        </is>
      </c>
      <c r="F130" s="134" t="n">
        <v>12.08</v>
      </c>
      <c r="G130" s="1" t="inlineStr">
        <is>
          <t>RMB/KG</t>
        </is>
      </c>
      <c r="H130" s="134" t="n">
        <v>0</v>
      </c>
      <c r="I130" s="1" t="inlineStr">
        <is>
          <t>2026-10-26</t>
        </is>
      </c>
      <c r="J130" s="1" t="inlineStr">
        <is>
          <t>凯琦FBA报价_当期.xlsx</t>
        </is>
      </c>
      <c r="P130" s="1" t="inlineStr">
        <is>
          <t>SBD1</t>
        </is>
      </c>
    </row>
    <row r="131">
      <c r="A131" s="1" t="inlineStr">
        <is>
          <t>美西快线</t>
        </is>
      </c>
      <c r="B131" s="1" t="inlineStr">
        <is>
          <t>美西快线</t>
        </is>
      </c>
      <c r="C131" s="1" t="inlineStr">
        <is>
          <t>Y-快速达</t>
        </is>
      </c>
      <c r="D131" s="1" t="inlineStr">
        <is>
          <t>义乌</t>
        </is>
      </c>
      <c r="E131" s="1" t="inlineStr">
        <is>
          <t>SCK4</t>
        </is>
      </c>
      <c r="F131" s="134" t="n">
        <v>11.98</v>
      </c>
      <c r="G131" s="1" t="inlineStr">
        <is>
          <t>RMB/KG</t>
        </is>
      </c>
      <c r="H131" s="134" t="n">
        <v>0</v>
      </c>
      <c r="I131" s="1" t="inlineStr">
        <is>
          <t>2026-10-26</t>
        </is>
      </c>
      <c r="J131" s="1" t="inlineStr">
        <is>
          <t>凯琦FBA报价_当期.xlsx</t>
        </is>
      </c>
      <c r="P131" s="1" t="inlineStr">
        <is>
          <t>SBD2</t>
        </is>
      </c>
    </row>
    <row r="132">
      <c r="A132" s="1" t="inlineStr">
        <is>
          <t>美西快线</t>
        </is>
      </c>
      <c r="B132" s="1" t="inlineStr">
        <is>
          <t>美西快线</t>
        </is>
      </c>
      <c r="C132" s="1" t="inlineStr">
        <is>
          <t>Y-快速达</t>
        </is>
      </c>
      <c r="D132" s="1" t="inlineStr">
        <is>
          <t>义乌</t>
        </is>
      </c>
      <c r="E132" s="1" t="inlineStr">
        <is>
          <t>TCY1</t>
        </is>
      </c>
      <c r="F132" s="134" t="n">
        <v>11.98</v>
      </c>
      <c r="G132" s="1" t="inlineStr">
        <is>
          <t>RMB/KG</t>
        </is>
      </c>
      <c r="H132" s="134" t="n">
        <v>0</v>
      </c>
      <c r="I132" s="1" t="inlineStr">
        <is>
          <t>2026-10-26</t>
        </is>
      </c>
      <c r="J132" s="1" t="inlineStr">
        <is>
          <t>凯琦FBA报价_当期.xlsx</t>
        </is>
      </c>
      <c r="P132" s="1" t="inlineStr">
        <is>
          <t>SCK1</t>
        </is>
      </c>
    </row>
    <row r="133">
      <c r="A133" s="1" t="inlineStr">
        <is>
          <t>美西快线</t>
        </is>
      </c>
      <c r="B133" s="1" t="inlineStr">
        <is>
          <t>美西快线</t>
        </is>
      </c>
      <c r="C133" s="1" t="inlineStr">
        <is>
          <t>Y-快速达</t>
        </is>
      </c>
      <c r="D133" s="1" t="inlineStr">
        <is>
          <t>义乌</t>
        </is>
      </c>
      <c r="E133" s="1" t="inlineStr">
        <is>
          <t>TCY2</t>
        </is>
      </c>
      <c r="F133" s="134" t="n">
        <v>11.98</v>
      </c>
      <c r="G133" s="1" t="inlineStr">
        <is>
          <t>RMB/KG</t>
        </is>
      </c>
      <c r="H133" s="134" t="n">
        <v>0</v>
      </c>
      <c r="I133" s="1" t="inlineStr">
        <is>
          <t>2026-10-26</t>
        </is>
      </c>
      <c r="J133" s="1" t="inlineStr">
        <is>
          <t>凯琦FBA报价_当期.xlsx</t>
        </is>
      </c>
      <c r="P133" s="1" t="inlineStr">
        <is>
          <t>SCK3</t>
        </is>
      </c>
    </row>
    <row r="134">
      <c r="A134" s="1" t="inlineStr">
        <is>
          <t>美西快线</t>
        </is>
      </c>
      <c r="B134" s="1" t="inlineStr">
        <is>
          <t>美西快线</t>
        </is>
      </c>
      <c r="C134" s="1" t="inlineStr">
        <is>
          <t>Y-快速达</t>
        </is>
      </c>
      <c r="D134" s="1" t="inlineStr">
        <is>
          <t>义乌</t>
        </is>
      </c>
      <c r="E134" s="1" t="inlineStr">
        <is>
          <t>QXY8</t>
        </is>
      </c>
      <c r="F134" s="134" t="n">
        <v>11.98</v>
      </c>
      <c r="G134" s="1" t="inlineStr">
        <is>
          <t>RMB/KG</t>
        </is>
      </c>
      <c r="H134" s="134" t="n">
        <v>0</v>
      </c>
      <c r="I134" s="1" t="inlineStr">
        <is>
          <t>2026-10-26</t>
        </is>
      </c>
      <c r="J134" s="1" t="inlineStr">
        <is>
          <t>凯琦FBA报价_当期.xlsx</t>
        </is>
      </c>
      <c r="P134" s="1" t="inlineStr">
        <is>
          <t>SCK4</t>
        </is>
      </c>
    </row>
    <row r="135">
      <c r="A135" s="1" t="inlineStr">
        <is>
          <t>美西快线</t>
        </is>
      </c>
      <c r="B135" s="1" t="inlineStr">
        <is>
          <t>美西快线</t>
        </is>
      </c>
      <c r="C135" s="1" t="inlineStr">
        <is>
          <t>Y-快速达</t>
        </is>
      </c>
      <c r="D135" s="1" t="inlineStr">
        <is>
          <t>义乌</t>
        </is>
      </c>
      <c r="E135" s="1" t="inlineStr">
        <is>
          <t>ABQ2</t>
        </is>
      </c>
      <c r="F135" s="134" t="n">
        <v>12.68</v>
      </c>
      <c r="G135" s="1" t="inlineStr">
        <is>
          <t>RMB/KG</t>
        </is>
      </c>
      <c r="H135" s="134" t="n">
        <v>0</v>
      </c>
      <c r="I135" s="1" t="inlineStr">
        <is>
          <t>2026-10-26</t>
        </is>
      </c>
      <c r="J135" s="1" t="inlineStr">
        <is>
          <t>凯琦FBA报价_当期.xlsx</t>
        </is>
      </c>
      <c r="P135" s="1" t="inlineStr">
        <is>
          <t>SCK8</t>
        </is>
      </c>
    </row>
    <row r="136">
      <c r="A136" s="1" t="inlineStr">
        <is>
          <t>美西快线</t>
        </is>
      </c>
      <c r="B136" s="1" t="inlineStr">
        <is>
          <t>美西快线</t>
        </is>
      </c>
      <c r="C136" s="1" t="inlineStr">
        <is>
          <t>Y-快速达</t>
        </is>
      </c>
      <c r="D136" s="1" t="inlineStr">
        <is>
          <t>义乌</t>
        </is>
      </c>
      <c r="E136" s="1" t="inlineStr">
        <is>
          <t>MCC1</t>
        </is>
      </c>
      <c r="F136" s="134" t="n">
        <v>12.18</v>
      </c>
      <c r="G136" s="1" t="inlineStr">
        <is>
          <t>RMB/KG</t>
        </is>
      </c>
      <c r="H136" s="134" t="n">
        <v>0</v>
      </c>
      <c r="I136" s="1" t="inlineStr">
        <is>
          <t>2026-10-26</t>
        </is>
      </c>
      <c r="J136" s="1" t="inlineStr">
        <is>
          <t>凯琦FBA报价_当期.xlsx</t>
        </is>
      </c>
      <c r="P136" s="1" t="inlineStr">
        <is>
          <t>SLC2</t>
        </is>
      </c>
    </row>
    <row r="137">
      <c r="A137" s="1" t="inlineStr">
        <is>
          <t>美西快线</t>
        </is>
      </c>
      <c r="B137" s="1" t="inlineStr">
        <is>
          <t>美西快线</t>
        </is>
      </c>
      <c r="C137" s="1" t="inlineStr">
        <is>
          <t>Y-快速达</t>
        </is>
      </c>
      <c r="D137" s="1" t="inlineStr">
        <is>
          <t>义乌</t>
        </is>
      </c>
      <c r="E137" s="1" t="inlineStr">
        <is>
          <t>SLC2</t>
        </is>
      </c>
      <c r="F137" s="134" t="n">
        <v>13.18</v>
      </c>
      <c r="G137" s="1" t="inlineStr">
        <is>
          <t>RMB/KG</t>
        </is>
      </c>
      <c r="H137" s="134" t="n">
        <v>0</v>
      </c>
      <c r="I137" s="1" t="inlineStr">
        <is>
          <t>2026-10-26</t>
        </is>
      </c>
      <c r="J137" s="1" t="inlineStr">
        <is>
          <t>凯琦FBA报价_当期.xlsx</t>
        </is>
      </c>
      <c r="P137" s="1" t="inlineStr">
        <is>
          <t>SMF1</t>
        </is>
      </c>
    </row>
    <row r="138">
      <c r="A138" s="1" t="inlineStr">
        <is>
          <t>美西快线</t>
        </is>
      </c>
      <c r="B138" s="1" t="inlineStr">
        <is>
          <t>美西快线</t>
        </is>
      </c>
      <c r="C138" s="1" t="inlineStr">
        <is>
          <t>Y-快速达</t>
        </is>
      </c>
      <c r="D138" s="1" t="inlineStr">
        <is>
          <t>义乌</t>
        </is>
      </c>
      <c r="E138" s="1" t="inlineStr">
        <is>
          <t>FTW1</t>
        </is>
      </c>
      <c r="F138" s="134" t="n">
        <v>14.18</v>
      </c>
      <c r="G138" s="1" t="inlineStr">
        <is>
          <t>RMB/KG</t>
        </is>
      </c>
      <c r="H138" s="134" t="n">
        <v>0</v>
      </c>
      <c r="I138" s="1" t="inlineStr">
        <is>
          <t>2026-10-26</t>
        </is>
      </c>
      <c r="J138" s="1" t="inlineStr">
        <is>
          <t>凯琦FBA报价_当期.xlsx</t>
        </is>
      </c>
      <c r="P138" s="1" t="inlineStr">
        <is>
          <t>SMF3</t>
        </is>
      </c>
    </row>
    <row r="139">
      <c r="A139" s="1" t="inlineStr">
        <is>
          <t>美西快线</t>
        </is>
      </c>
      <c r="B139" s="1" t="inlineStr">
        <is>
          <t>美西快线</t>
        </is>
      </c>
      <c r="C139" s="1" t="inlineStr">
        <is>
          <t>Y-快速达</t>
        </is>
      </c>
      <c r="D139" s="1" t="inlineStr">
        <is>
          <t>义乌</t>
        </is>
      </c>
      <c r="E139" s="1" t="inlineStr">
        <is>
          <t>IAH3</t>
        </is>
      </c>
      <c r="F139" s="134" t="n">
        <v>14.28</v>
      </c>
      <c r="G139" s="1" t="inlineStr">
        <is>
          <t>RMB/KG</t>
        </is>
      </c>
      <c r="H139" s="134" t="n">
        <v>0</v>
      </c>
      <c r="I139" s="1" t="inlineStr">
        <is>
          <t>2026-10-26</t>
        </is>
      </c>
      <c r="J139" s="1" t="inlineStr">
        <is>
          <t>凯琦FBA报价_当期.xlsx</t>
        </is>
      </c>
      <c r="P139" s="1" t="inlineStr">
        <is>
          <t>SMF6</t>
        </is>
      </c>
    </row>
    <row r="140">
      <c r="A140" s="1" t="inlineStr">
        <is>
          <t>美西快线</t>
        </is>
      </c>
      <c r="B140" s="1" t="inlineStr">
        <is>
          <t>美西快线</t>
        </is>
      </c>
      <c r="C140" s="1" t="inlineStr">
        <is>
          <t>Y-快速达</t>
        </is>
      </c>
      <c r="D140" s="1" t="inlineStr">
        <is>
          <t>义乌</t>
        </is>
      </c>
      <c r="E140" s="1" t="inlineStr">
        <is>
          <t>BJC1</t>
        </is>
      </c>
      <c r="F140" s="134" t="n">
        <v>14.48</v>
      </c>
      <c r="G140" s="1" t="inlineStr">
        <is>
          <t>RMB/KG</t>
        </is>
      </c>
      <c r="H140" s="134" t="n">
        <v>0</v>
      </c>
      <c r="I140" s="1" t="inlineStr">
        <is>
          <t>2026-10-26</t>
        </is>
      </c>
      <c r="J140" s="1" t="inlineStr">
        <is>
          <t>凯琦FBA报价_当期.xlsx</t>
        </is>
      </c>
      <c r="P140" s="1" t="inlineStr">
        <is>
          <t>SMF7</t>
        </is>
      </c>
    </row>
    <row r="141">
      <c r="A141" s="1" t="inlineStr">
        <is>
          <t>美西快线</t>
        </is>
      </c>
      <c r="B141" s="1" t="inlineStr">
        <is>
          <t>美西快线</t>
        </is>
      </c>
      <c r="C141" s="1" t="inlineStr">
        <is>
          <t>Y-快速达</t>
        </is>
      </c>
      <c r="D141" s="1" t="inlineStr">
        <is>
          <t>义乌</t>
        </is>
      </c>
      <c r="E141" s="1" t="inlineStr">
        <is>
          <t>DEN8</t>
        </is>
      </c>
      <c r="F141" s="134" t="n">
        <v>14.48</v>
      </c>
      <c r="G141" s="1" t="inlineStr">
        <is>
          <t>RMB/KG</t>
        </is>
      </c>
      <c r="H141" s="134" t="n">
        <v>0</v>
      </c>
      <c r="I141" s="1" t="inlineStr">
        <is>
          <t>2026-10-26</t>
        </is>
      </c>
      <c r="J141" s="1" t="inlineStr">
        <is>
          <t>凯琦FBA报价_当期.xlsx</t>
        </is>
      </c>
      <c r="P141" s="1" t="inlineStr">
        <is>
          <t>SNA4</t>
        </is>
      </c>
    </row>
    <row r="142">
      <c r="A142" s="1" t="inlineStr">
        <is>
          <t>美西快线</t>
        </is>
      </c>
      <c r="B142" s="1" t="inlineStr">
        <is>
          <t>美西快线</t>
        </is>
      </c>
      <c r="C142" s="1" t="inlineStr">
        <is>
          <t>Y-快速达</t>
        </is>
      </c>
      <c r="D142" s="1" t="inlineStr">
        <is>
          <t>义乌</t>
        </is>
      </c>
      <c r="E142" s="1" t="inlineStr">
        <is>
          <t>MDW2</t>
        </is>
      </c>
      <c r="F142" s="134" t="n">
        <v>15.18</v>
      </c>
      <c r="G142" s="1" t="inlineStr">
        <is>
          <t>RMB/KG</t>
        </is>
      </c>
      <c r="H142" s="134" t="n">
        <v>0</v>
      </c>
      <c r="I142" s="1" t="inlineStr">
        <is>
          <t>2026-10-26</t>
        </is>
      </c>
      <c r="J142" s="1" t="inlineStr">
        <is>
          <t>凯琦FBA报价_当期.xlsx</t>
        </is>
      </c>
      <c r="P142" s="1" t="inlineStr">
        <is>
          <t>STL3</t>
        </is>
      </c>
    </row>
    <row r="143">
      <c r="A143" s="1" t="inlineStr">
        <is>
          <t>美西快线</t>
        </is>
      </c>
      <c r="B143" s="1" t="inlineStr">
        <is>
          <t>美西快线</t>
        </is>
      </c>
      <c r="C143" s="1" t="inlineStr">
        <is>
          <t>Y-快速达</t>
        </is>
      </c>
      <c r="D143" s="1" t="inlineStr">
        <is>
          <t>义乌</t>
        </is>
      </c>
      <c r="E143" s="1" t="inlineStr">
        <is>
          <t>IND9</t>
        </is>
      </c>
      <c r="F143" s="134" t="n">
        <v>15.28</v>
      </c>
      <c r="G143" s="1" t="inlineStr">
        <is>
          <t>RMB/KG</t>
        </is>
      </c>
      <c r="H143" s="134" t="n">
        <v>0</v>
      </c>
      <c r="I143" s="1" t="inlineStr">
        <is>
          <t>2026-10-26</t>
        </is>
      </c>
      <c r="J143" s="1" t="inlineStr">
        <is>
          <t>凯琦FBA报价_当期.xlsx</t>
        </is>
      </c>
      <c r="P143" s="1" t="inlineStr">
        <is>
          <t>STL4</t>
        </is>
      </c>
    </row>
    <row r="144">
      <c r="A144" s="1" t="inlineStr">
        <is>
          <t>美西快线</t>
        </is>
      </c>
      <c r="B144" s="1" t="inlineStr">
        <is>
          <t>美西快线</t>
        </is>
      </c>
      <c r="C144" s="1" t="inlineStr">
        <is>
          <t>Y-快速达</t>
        </is>
      </c>
      <c r="D144" s="1" t="inlineStr">
        <is>
          <t>义乌</t>
        </is>
      </c>
      <c r="E144" s="1" t="inlineStr">
        <is>
          <t>FWA4</t>
        </is>
      </c>
      <c r="F144" s="134" t="n">
        <v>15.18</v>
      </c>
      <c r="G144" s="1" t="inlineStr">
        <is>
          <t>RMB/KG</t>
        </is>
      </c>
      <c r="H144" s="134" t="n">
        <v>0</v>
      </c>
      <c r="I144" s="1" t="inlineStr">
        <is>
          <t>2026-10-26</t>
        </is>
      </c>
      <c r="J144" s="1" t="inlineStr">
        <is>
          <t>凯琦FBA报价_当期.xlsx</t>
        </is>
      </c>
      <c r="P144" s="1" t="inlineStr">
        <is>
          <t>SWF1</t>
        </is>
      </c>
    </row>
    <row r="145">
      <c r="A145" s="1" t="inlineStr">
        <is>
          <t>美西快线</t>
        </is>
      </c>
      <c r="B145" s="1" t="inlineStr">
        <is>
          <t>美西快线</t>
        </is>
      </c>
      <c r="C145" s="1" t="inlineStr">
        <is>
          <t>Y-快速达</t>
        </is>
      </c>
      <c r="D145" s="1" t="inlineStr">
        <is>
          <t>义乌</t>
        </is>
      </c>
      <c r="E145" s="1" t="inlineStr">
        <is>
          <t>MQJ1</t>
        </is>
      </c>
      <c r="F145" s="134" t="n">
        <v>15.28</v>
      </c>
      <c r="G145" s="1" t="inlineStr">
        <is>
          <t>RMB/KG</t>
        </is>
      </c>
      <c r="H145" s="134" t="n">
        <v>0</v>
      </c>
      <c r="I145" s="1" t="inlineStr">
        <is>
          <t>2026-10-26</t>
        </is>
      </c>
      <c r="J145" s="1" t="inlineStr">
        <is>
          <t>凯琦FBA报价_当期.xlsx</t>
        </is>
      </c>
      <c r="P145" s="1" t="inlineStr">
        <is>
          <t>SWF2</t>
        </is>
      </c>
    </row>
    <row r="146">
      <c r="A146" s="1" t="inlineStr">
        <is>
          <t>美西快线</t>
        </is>
      </c>
      <c r="B146" s="1" t="inlineStr">
        <is>
          <t>美西快线</t>
        </is>
      </c>
      <c r="C146" s="1" t="inlineStr">
        <is>
          <t>Y-快速达</t>
        </is>
      </c>
      <c r="D146" s="1" t="inlineStr">
        <is>
          <t>义乌</t>
        </is>
      </c>
      <c r="E146" s="1" t="inlineStr">
        <is>
          <t>MEM1</t>
        </is>
      </c>
      <c r="F146" s="134" t="n">
        <v>14.68</v>
      </c>
      <c r="G146" s="1" t="inlineStr">
        <is>
          <t>RMB/KG</t>
        </is>
      </c>
      <c r="H146" s="134" t="n">
        <v>0</v>
      </c>
      <c r="I146" s="1" t="inlineStr">
        <is>
          <t>2026-10-26</t>
        </is>
      </c>
      <c r="J146" s="1" t="inlineStr">
        <is>
          <t>凯琦FBA报价_当期.xlsx</t>
        </is>
      </c>
      <c r="P146" s="1" t="inlineStr">
        <is>
          <t>TCY1</t>
        </is>
      </c>
    </row>
    <row r="147">
      <c r="A147" s="1" t="inlineStr">
        <is>
          <t>美西快线</t>
        </is>
      </c>
      <c r="B147" s="1" t="inlineStr">
        <is>
          <t>美西快线</t>
        </is>
      </c>
      <c r="C147" s="1" t="inlineStr">
        <is>
          <t>Y-快速达</t>
        </is>
      </c>
      <c r="D147" s="1" t="inlineStr">
        <is>
          <t>义乌</t>
        </is>
      </c>
      <c r="E147" s="1" t="inlineStr">
        <is>
          <t>RFD2</t>
        </is>
      </c>
      <c r="F147" s="134" t="n">
        <v>15.18</v>
      </c>
      <c r="G147" s="1" t="inlineStr">
        <is>
          <t>RMB/KG</t>
        </is>
      </c>
      <c r="H147" s="134" t="n">
        <v>0</v>
      </c>
      <c r="I147" s="1" t="inlineStr">
        <is>
          <t>2026-10-26</t>
        </is>
      </c>
      <c r="J147" s="1" t="inlineStr">
        <is>
          <t>凯琦FBA报价_当期.xlsx</t>
        </is>
      </c>
      <c r="P147" s="1" t="inlineStr">
        <is>
          <t>TCY2</t>
        </is>
      </c>
    </row>
    <row r="148">
      <c r="A148" s="1" t="inlineStr">
        <is>
          <t>美西快线</t>
        </is>
      </c>
      <c r="B148" s="1" t="inlineStr">
        <is>
          <t>美西快线</t>
        </is>
      </c>
      <c r="C148" s="1" t="inlineStr">
        <is>
          <t>Y-快速达</t>
        </is>
      </c>
      <c r="D148" s="1" t="inlineStr">
        <is>
          <t>义乌</t>
        </is>
      </c>
      <c r="E148" s="1" t="inlineStr">
        <is>
          <t>PDX7</t>
        </is>
      </c>
      <c r="F148" s="134" t="n">
        <v>14.38</v>
      </c>
      <c r="G148" s="1" t="inlineStr">
        <is>
          <t>RMB/KG</t>
        </is>
      </c>
      <c r="H148" s="134" t="n">
        <v>0</v>
      </c>
      <c r="I148" s="1" t="inlineStr">
        <is>
          <t>2026-10-26</t>
        </is>
      </c>
      <c r="J148" s="1" t="inlineStr">
        <is>
          <t>凯琦FBA报价_当期.xlsx</t>
        </is>
      </c>
      <c r="P148" s="1" t="inlineStr">
        <is>
          <t>TEB3</t>
        </is>
      </c>
    </row>
    <row r="149">
      <c r="A149" s="1" t="inlineStr">
        <is>
          <t>美西快线</t>
        </is>
      </c>
      <c r="B149" s="1" t="inlineStr">
        <is>
          <t>美西快线</t>
        </is>
      </c>
      <c r="C149" s="1" t="inlineStr">
        <is>
          <t>Y-快速达</t>
        </is>
      </c>
      <c r="D149" s="1" t="inlineStr">
        <is>
          <t>义乌</t>
        </is>
      </c>
      <c r="E149" s="1" t="inlineStr">
        <is>
          <t>GEG2</t>
        </is>
      </c>
      <c r="F149" s="134" t="n">
        <v>15.88</v>
      </c>
      <c r="G149" s="1" t="inlineStr">
        <is>
          <t>RMB/KG</t>
        </is>
      </c>
      <c r="H149" s="134" t="n">
        <v>0</v>
      </c>
      <c r="I149" s="1" t="inlineStr">
        <is>
          <t>2026-10-26</t>
        </is>
      </c>
      <c r="J149" s="1" t="inlineStr">
        <is>
          <t>凯琦FBA报价_当期.xlsx</t>
        </is>
      </c>
      <c r="P149" s="1" t="inlineStr">
        <is>
          <t>TEB4</t>
        </is>
      </c>
    </row>
    <row r="150">
      <c r="A150" s="1" t="inlineStr">
        <is>
          <t>美西快线</t>
        </is>
      </c>
      <c r="B150" s="1" t="inlineStr">
        <is>
          <t>美西快线</t>
        </is>
      </c>
      <c r="C150" s="1" t="inlineStr">
        <is>
          <t>Y-快速达</t>
        </is>
      </c>
      <c r="D150" s="1" t="inlineStr">
        <is>
          <t>义乌</t>
        </is>
      </c>
      <c r="E150" s="1" t="inlineStr">
        <is>
          <t>ABE8</t>
        </is>
      </c>
      <c r="F150" s="134" t="n">
        <v>16.88</v>
      </c>
      <c r="G150" s="1" t="inlineStr">
        <is>
          <t>RMB/KG</t>
        </is>
      </c>
      <c r="H150" s="134" t="n">
        <v>0</v>
      </c>
      <c r="I150" s="1" t="inlineStr">
        <is>
          <t>2026-10-26</t>
        </is>
      </c>
      <c r="J150" s="1" t="inlineStr">
        <is>
          <t>凯琦FBA报价_当期.xlsx</t>
        </is>
      </c>
      <c r="P150" s="1" t="inlineStr">
        <is>
          <t>TEB6</t>
        </is>
      </c>
    </row>
    <row r="151">
      <c r="A151" s="1" t="inlineStr">
        <is>
          <t>美西快线</t>
        </is>
      </c>
      <c r="B151" s="1" t="inlineStr">
        <is>
          <t>美西快线</t>
        </is>
      </c>
      <c r="C151" s="1" t="inlineStr">
        <is>
          <t>Y-快速达</t>
        </is>
      </c>
      <c r="D151" s="1" t="inlineStr">
        <is>
          <t>义乌</t>
        </is>
      </c>
      <c r="E151" s="1" t="inlineStr">
        <is>
          <t>AVP1</t>
        </is>
      </c>
      <c r="F151" s="134" t="n">
        <v>16.88</v>
      </c>
      <c r="G151" s="1" t="inlineStr">
        <is>
          <t>RMB/KG</t>
        </is>
      </c>
      <c r="H151" s="134" t="n">
        <v>0</v>
      </c>
      <c r="I151" s="1" t="inlineStr">
        <is>
          <t>2026-10-26</t>
        </is>
      </c>
      <c r="J151" s="1" t="inlineStr">
        <is>
          <t>凯琦FBA报价_当期.xlsx</t>
        </is>
      </c>
      <c r="P151" s="1" t="inlineStr">
        <is>
          <t>TEB9</t>
        </is>
      </c>
    </row>
    <row r="152">
      <c r="A152" s="1" t="inlineStr">
        <is>
          <t>美西快线</t>
        </is>
      </c>
      <c r="B152" s="1" t="inlineStr">
        <is>
          <t>美西快线</t>
        </is>
      </c>
      <c r="C152" s="1" t="inlineStr">
        <is>
          <t>Y-快速达</t>
        </is>
      </c>
      <c r="D152" s="1" t="inlineStr">
        <is>
          <t>义乌</t>
        </is>
      </c>
      <c r="E152" s="1" t="inlineStr">
        <is>
          <t>CLT2</t>
        </is>
      </c>
      <c r="F152" s="134" t="n">
        <v>16.28</v>
      </c>
      <c r="G152" s="1" t="inlineStr">
        <is>
          <t>RMB/KG</t>
        </is>
      </c>
      <c r="H152" s="134" t="n">
        <v>0</v>
      </c>
      <c r="I152" s="1" t="inlineStr">
        <is>
          <t>2026-10-26</t>
        </is>
      </c>
      <c r="J152" s="1" t="inlineStr">
        <is>
          <t>凯琦FBA报价_当期.xlsx</t>
        </is>
      </c>
      <c r="P152" s="1" t="inlineStr">
        <is>
          <t>TOL3</t>
        </is>
      </c>
    </row>
    <row r="153">
      <c r="A153" s="1" t="inlineStr">
        <is>
          <t>美西快线</t>
        </is>
      </c>
      <c r="B153" s="1" t="inlineStr">
        <is>
          <t>美西快线</t>
        </is>
      </c>
      <c r="C153" s="1" t="inlineStr">
        <is>
          <t>Y-快速达</t>
        </is>
      </c>
      <c r="D153" s="1" t="inlineStr">
        <is>
          <t>义乌</t>
        </is>
      </c>
      <c r="E153" s="1" t="inlineStr">
        <is>
          <t>RMN3</t>
        </is>
      </c>
      <c r="F153" s="134" t="n">
        <v>16.88</v>
      </c>
      <c r="G153" s="1" t="inlineStr">
        <is>
          <t>RMB/KG</t>
        </is>
      </c>
      <c r="H153" s="134" t="n">
        <v>0</v>
      </c>
      <c r="I153" s="1" t="inlineStr">
        <is>
          <t>2026-10-26</t>
        </is>
      </c>
      <c r="J153" s="1" t="inlineStr">
        <is>
          <t>凯琦FBA报价_当期.xlsx</t>
        </is>
      </c>
      <c r="P153" s="1" t="inlineStr">
        <is>
          <t>TPA2</t>
        </is>
      </c>
    </row>
    <row r="154">
      <c r="A154" s="1" t="inlineStr">
        <is>
          <t>美西快线</t>
        </is>
      </c>
      <c r="B154" s="1" t="inlineStr">
        <is>
          <t>美西快线</t>
        </is>
      </c>
      <c r="C154" s="1" t="inlineStr">
        <is>
          <t>Y-快速达</t>
        </is>
      </c>
      <c r="D154" s="1" t="inlineStr">
        <is>
          <t>义乌</t>
        </is>
      </c>
      <c r="E154" s="1" t="inlineStr">
        <is>
          <t>ORF2</t>
        </is>
      </c>
      <c r="F154" s="134" t="n">
        <v>16.88</v>
      </c>
      <c r="G154" s="1" t="inlineStr">
        <is>
          <t>RMB/KG</t>
        </is>
      </c>
      <c r="H154" s="134" t="n">
        <v>0</v>
      </c>
      <c r="I154" s="1" t="inlineStr">
        <is>
          <t>2026-10-26</t>
        </is>
      </c>
      <c r="J154" s="1" t="inlineStr">
        <is>
          <t>凯琦FBA报价_当期.xlsx</t>
        </is>
      </c>
      <c r="P154" s="1" t="inlineStr">
        <is>
          <t>TPA3</t>
        </is>
      </c>
    </row>
    <row r="155">
      <c r="A155" s="1" t="inlineStr">
        <is>
          <t>美西快线</t>
        </is>
      </c>
      <c r="B155" s="1" t="inlineStr">
        <is>
          <t>美西快线</t>
        </is>
      </c>
      <c r="C155" s="1" t="inlineStr">
        <is>
          <t>Y-快速达</t>
        </is>
      </c>
      <c r="D155" s="1" t="inlineStr">
        <is>
          <t>义乌</t>
        </is>
      </c>
      <c r="E155" s="1" t="inlineStr">
        <is>
          <t>RDU2</t>
        </is>
      </c>
      <c r="F155" s="134" t="n">
        <v>16.48</v>
      </c>
      <c r="G155" s="1" t="inlineStr">
        <is>
          <t>RMB/KG</t>
        </is>
      </c>
      <c r="H155" s="134" t="n">
        <v>0</v>
      </c>
      <c r="I155" s="1" t="inlineStr">
        <is>
          <t>2026-10-26</t>
        </is>
      </c>
      <c r="J155" s="1" t="inlineStr">
        <is>
          <t>凯琦FBA报价_当期.xlsx</t>
        </is>
      </c>
      <c r="P155" s="1" t="inlineStr">
        <is>
          <t>TTN2</t>
        </is>
      </c>
    </row>
    <row r="156">
      <c r="A156" s="1" t="inlineStr">
        <is>
          <t>美西快线</t>
        </is>
      </c>
      <c r="B156" s="1" t="inlineStr">
        <is>
          <t>美西快线</t>
        </is>
      </c>
      <c r="C156" s="1" t="inlineStr">
        <is>
          <t>Y-快速达</t>
        </is>
      </c>
      <c r="D156" s="1" t="inlineStr">
        <is>
          <t>义乌</t>
        </is>
      </c>
      <c r="E156" s="1" t="inlineStr">
        <is>
          <t>TEB9</t>
        </is>
      </c>
      <c r="F156" s="134" t="n">
        <v>16.88</v>
      </c>
      <c r="G156" s="1" t="inlineStr">
        <is>
          <t>RMB/KG</t>
        </is>
      </c>
      <c r="H156" s="134" t="n">
        <v>0</v>
      </c>
      <c r="I156" s="1" t="inlineStr">
        <is>
          <t>2026-10-26</t>
        </is>
      </c>
      <c r="J156" s="1" t="inlineStr">
        <is>
          <t>凯琦FBA报价_当期.xlsx</t>
        </is>
      </c>
      <c r="P156" s="1" t="inlineStr">
        <is>
          <t>VGT2</t>
        </is>
      </c>
    </row>
    <row r="157">
      <c r="A157" s="1" t="inlineStr">
        <is>
          <t>美西快线</t>
        </is>
      </c>
      <c r="B157" s="1" t="inlineStr">
        <is>
          <t>美西快线</t>
        </is>
      </c>
      <c r="C157" s="1" t="inlineStr">
        <is>
          <t>Y-快速达</t>
        </is>
      </c>
      <c r="D157" s="1" t="inlineStr">
        <is>
          <t>义乌</t>
        </is>
      </c>
      <c r="E157" s="1" t="inlineStr">
        <is>
          <t>SWF2</t>
        </is>
      </c>
      <c r="F157" s="134" t="n">
        <v>16.88</v>
      </c>
      <c r="G157" s="1" t="inlineStr">
        <is>
          <t>RMB/KG</t>
        </is>
      </c>
      <c r="H157" s="134" t="n">
        <v>0</v>
      </c>
      <c r="I157" s="1" t="inlineStr">
        <is>
          <t>2026-10-26</t>
        </is>
      </c>
      <c r="J157" s="1" t="inlineStr">
        <is>
          <t>凯琦FBA报价_当期.xlsx</t>
        </is>
      </c>
      <c r="P157" s="1" t="inlineStr">
        <is>
          <t>XCAB</t>
        </is>
      </c>
    </row>
    <row r="158">
      <c r="A158" s="1" t="inlineStr">
        <is>
          <t>美西普船</t>
        </is>
      </c>
      <c r="B158" s="1" t="inlineStr">
        <is>
          <t>美西普船</t>
        </is>
      </c>
      <c r="C158" s="1" t="inlineStr">
        <is>
          <t>Y-718专线</t>
        </is>
      </c>
      <c r="D158" s="1" t="inlineStr">
        <is>
          <t>义乌</t>
        </is>
      </c>
      <c r="E158" s="1" t="inlineStr">
        <is>
          <t>凯琦美西仓</t>
        </is>
      </c>
      <c r="F158" s="134" t="n">
        <v>8.48</v>
      </c>
      <c r="G158" s="1" t="inlineStr">
        <is>
          <t>RMB/KG</t>
        </is>
      </c>
      <c r="H158" s="134" t="n">
        <v>0</v>
      </c>
      <c r="I158" s="1" t="inlineStr">
        <is>
          <t>2026-10-26</t>
        </is>
      </c>
      <c r="J158" s="1" t="inlineStr">
        <is>
          <t>凯琦FBA报价_当期.xlsx</t>
        </is>
      </c>
      <c r="P158" s="1" t="inlineStr">
        <is>
          <t>XEW5</t>
        </is>
      </c>
    </row>
    <row r="159">
      <c r="A159" s="1" t="inlineStr">
        <is>
          <t>美西普船</t>
        </is>
      </c>
      <c r="B159" s="1" t="inlineStr">
        <is>
          <t>美西普船</t>
        </is>
      </c>
      <c r="C159" s="1" t="inlineStr">
        <is>
          <t>Y-718专线</t>
        </is>
      </c>
      <c r="D159" s="1" t="inlineStr">
        <is>
          <t>义乌</t>
        </is>
      </c>
      <c r="E159" s="1" t="inlineStr">
        <is>
          <t>ONT8</t>
        </is>
      </c>
      <c r="F159" s="134" t="n">
        <v>8.68</v>
      </c>
      <c r="G159" s="1" t="inlineStr">
        <is>
          <t>RMB/KG</t>
        </is>
      </c>
      <c r="H159" s="134" t="n">
        <v>0</v>
      </c>
      <c r="I159" s="1" t="inlineStr">
        <is>
          <t>2026-10-26</t>
        </is>
      </c>
      <c r="J159" s="1" t="inlineStr">
        <is>
          <t>凯琦FBA报价_当期.xlsx</t>
        </is>
      </c>
      <c r="P159" s="1" t="inlineStr">
        <is>
          <t>XLX1</t>
        </is>
      </c>
    </row>
    <row r="160">
      <c r="A160" s="1" t="inlineStr">
        <is>
          <t>美西普船</t>
        </is>
      </c>
      <c r="B160" s="1" t="inlineStr">
        <is>
          <t>美西普船</t>
        </is>
      </c>
      <c r="C160" s="1" t="inlineStr">
        <is>
          <t>Y-718专线</t>
        </is>
      </c>
      <c r="D160" s="1" t="inlineStr">
        <is>
          <t>义乌</t>
        </is>
      </c>
      <c r="E160" s="1" t="inlineStr">
        <is>
          <t>LGB8</t>
        </is>
      </c>
      <c r="F160" s="134" t="n">
        <v>8.68</v>
      </c>
      <c r="G160" s="1" t="inlineStr">
        <is>
          <t>RMB/KG</t>
        </is>
      </c>
      <c r="H160" s="134" t="n">
        <v>0</v>
      </c>
      <c r="I160" s="1" t="inlineStr">
        <is>
          <t>2026-10-26</t>
        </is>
      </c>
      <c r="J160" s="1" t="inlineStr">
        <is>
          <t>凯琦FBA报价_当期.xlsx</t>
        </is>
      </c>
      <c r="P160" s="1" t="inlineStr">
        <is>
          <t>XLX6</t>
        </is>
      </c>
    </row>
    <row r="161">
      <c r="A161" s="1" t="inlineStr">
        <is>
          <t>美西普船</t>
        </is>
      </c>
      <c r="B161" s="1" t="inlineStr">
        <is>
          <t>美西普船</t>
        </is>
      </c>
      <c r="C161" s="1" t="inlineStr">
        <is>
          <t>Y-718专线</t>
        </is>
      </c>
      <c r="D161" s="1" t="inlineStr">
        <is>
          <t>义乌</t>
        </is>
      </c>
      <c r="E161" s="1" t="inlineStr">
        <is>
          <t>LAX9</t>
        </is>
      </c>
      <c r="F161" s="134" t="n">
        <v>8.68</v>
      </c>
      <c r="G161" s="1" t="inlineStr">
        <is>
          <t>RMB/KG</t>
        </is>
      </c>
      <c r="H161" s="134" t="n">
        <v>0</v>
      </c>
      <c r="I161" s="1" t="inlineStr">
        <is>
          <t>2026-10-26</t>
        </is>
      </c>
      <c r="J161" s="1" t="inlineStr">
        <is>
          <t>凯琦FBA报价_当期.xlsx</t>
        </is>
      </c>
      <c r="P161" s="1" t="inlineStr">
        <is>
          <t>XLX7</t>
        </is>
      </c>
    </row>
    <row r="162">
      <c r="A162" s="1" t="inlineStr">
        <is>
          <t>美西普船</t>
        </is>
      </c>
      <c r="B162" s="1" t="inlineStr">
        <is>
          <t>美西普船</t>
        </is>
      </c>
      <c r="C162" s="1" t="inlineStr">
        <is>
          <t>Y-718专线</t>
        </is>
      </c>
      <c r="D162" s="1" t="inlineStr">
        <is>
          <t>义乌</t>
        </is>
      </c>
      <c r="E162" s="1" t="inlineStr">
        <is>
          <t>SBD1</t>
        </is>
      </c>
      <c r="F162" s="134" t="n">
        <v>8.68</v>
      </c>
      <c r="G162" s="1" t="inlineStr">
        <is>
          <t>RMB/KG</t>
        </is>
      </c>
      <c r="H162" s="134" t="n">
        <v>0</v>
      </c>
      <c r="I162" s="1" t="inlineStr">
        <is>
          <t>2026-10-26</t>
        </is>
      </c>
      <c r="J162" s="1" t="inlineStr">
        <is>
          <t>凯琦FBA报价_当期.xlsx</t>
        </is>
      </c>
      <c r="P162" s="1" t="inlineStr">
        <is>
          <t>XMI3</t>
        </is>
      </c>
    </row>
    <row r="163">
      <c r="A163" s="1" t="inlineStr">
        <is>
          <t>美西普船</t>
        </is>
      </c>
      <c r="B163" s="1" t="inlineStr">
        <is>
          <t>美西普船</t>
        </is>
      </c>
      <c r="C163" s="1" t="inlineStr">
        <is>
          <t>Y-718专线</t>
        </is>
      </c>
      <c r="D163" s="1" t="inlineStr">
        <is>
          <t>义乌</t>
        </is>
      </c>
      <c r="E163" s="1" t="inlineStr">
        <is>
          <t>POC1</t>
        </is>
      </c>
      <c r="F163" s="134" t="n">
        <v>8.98</v>
      </c>
      <c r="G163" s="1" t="inlineStr">
        <is>
          <t>RMB/KG</t>
        </is>
      </c>
      <c r="H163" s="134" t="n">
        <v>0</v>
      </c>
      <c r="I163" s="1" t="inlineStr">
        <is>
          <t>2026-10-26</t>
        </is>
      </c>
      <c r="J163" s="1" t="inlineStr">
        <is>
          <t>凯琦FBA报价_当期.xlsx</t>
        </is>
      </c>
      <c r="P163" s="1" t="inlineStr">
        <is>
          <t>XPB2</t>
        </is>
      </c>
    </row>
    <row r="164">
      <c r="A164" s="1" t="inlineStr">
        <is>
          <t>美西普船</t>
        </is>
      </c>
      <c r="B164" s="1" t="inlineStr">
        <is>
          <t>美西普船</t>
        </is>
      </c>
      <c r="C164" s="1" t="inlineStr">
        <is>
          <t>Y-718专线</t>
        </is>
      </c>
      <c r="D164" s="1" t="inlineStr">
        <is>
          <t>义乌</t>
        </is>
      </c>
      <c r="E164" s="1" t="inlineStr">
        <is>
          <t>POC2</t>
        </is>
      </c>
      <c r="F164" s="134" t="n">
        <v>8.779999999999999</v>
      </c>
      <c r="G164" s="1" t="inlineStr">
        <is>
          <t>RMB/KG</t>
        </is>
      </c>
      <c r="H164" s="134" t="n">
        <v>0</v>
      </c>
      <c r="I164" s="1" t="inlineStr">
        <is>
          <t>2026-10-26</t>
        </is>
      </c>
      <c r="J164" s="1" t="inlineStr">
        <is>
          <t>凯琦FBA报价_当期.xlsx</t>
        </is>
      </c>
      <c r="P164" s="1" t="inlineStr">
        <is>
          <t>XPH1</t>
        </is>
      </c>
    </row>
    <row r="165">
      <c r="A165" s="1" t="inlineStr">
        <is>
          <t>美西普船</t>
        </is>
      </c>
      <c r="B165" s="1" t="inlineStr">
        <is>
          <t>美西普船</t>
        </is>
      </c>
      <c r="C165" s="1" t="inlineStr">
        <is>
          <t>Y-718专线</t>
        </is>
      </c>
      <c r="D165" s="1" t="inlineStr">
        <is>
          <t>义乌</t>
        </is>
      </c>
      <c r="E165" s="1" t="inlineStr">
        <is>
          <t>POC3</t>
        </is>
      </c>
      <c r="F165" s="134" t="n">
        <v>8.779999999999999</v>
      </c>
      <c r="G165" s="1" t="inlineStr">
        <is>
          <t>RMB/KG</t>
        </is>
      </c>
      <c r="H165" s="134" t="n">
        <v>0</v>
      </c>
      <c r="I165" s="1" t="inlineStr">
        <is>
          <t>2026-10-26</t>
        </is>
      </c>
      <c r="J165" s="1" t="inlineStr">
        <is>
          <t>凯琦FBA报价_当期.xlsx</t>
        </is>
      </c>
      <c r="P165" s="1" t="inlineStr">
        <is>
          <t>XRI3</t>
        </is>
      </c>
    </row>
    <row r="166">
      <c r="A166" s="1" t="inlineStr">
        <is>
          <t>美西普船</t>
        </is>
      </c>
      <c r="B166" s="1" t="inlineStr">
        <is>
          <t>美西普船</t>
        </is>
      </c>
      <c r="C166" s="1" t="inlineStr">
        <is>
          <t>Y-718专线</t>
        </is>
      </c>
      <c r="D166" s="1" t="inlineStr">
        <is>
          <t>义乌</t>
        </is>
      </c>
      <c r="E166" s="1" t="inlineStr">
        <is>
          <t>SNA4</t>
        </is>
      </c>
      <c r="F166" s="134" t="n">
        <v>9.18</v>
      </c>
      <c r="G166" s="1" t="inlineStr">
        <is>
          <t>RMB/KG</t>
        </is>
      </c>
      <c r="H166" s="134" t="n">
        <v>0</v>
      </c>
      <c r="I166" s="1" t="inlineStr">
        <is>
          <t>2026-10-26</t>
        </is>
      </c>
      <c r="J166" s="1" t="inlineStr">
        <is>
          <t>凯琦FBA报价_当期.xlsx</t>
        </is>
      </c>
      <c r="P166" s="1" t="inlineStr">
        <is>
          <t>XYY1</t>
        </is>
      </c>
    </row>
    <row r="167">
      <c r="A167" s="1" t="inlineStr">
        <is>
          <t>美西普船</t>
        </is>
      </c>
      <c r="B167" s="1" t="inlineStr">
        <is>
          <t>美西普船</t>
        </is>
      </c>
      <c r="C167" s="1" t="inlineStr">
        <is>
          <t>Y-718专线</t>
        </is>
      </c>
      <c r="D167" s="1" t="inlineStr">
        <is>
          <t>义乌</t>
        </is>
      </c>
      <c r="E167" s="1" t="inlineStr">
        <is>
          <t>XLX7</t>
        </is>
      </c>
      <c r="F167" s="134" t="n">
        <v>9.18</v>
      </c>
      <c r="G167" s="1" t="inlineStr">
        <is>
          <t>RMB/KG</t>
        </is>
      </c>
      <c r="H167" s="134" t="n">
        <v>0</v>
      </c>
      <c r="I167" s="1" t="inlineStr">
        <is>
          <t>2026-10-26</t>
        </is>
      </c>
      <c r="J167" s="1" t="inlineStr">
        <is>
          <t>凯琦FBA报价_当期.xlsx</t>
        </is>
      </c>
      <c r="P167" s="1" t="inlineStr">
        <is>
          <t>XYY3</t>
        </is>
      </c>
    </row>
    <row r="168">
      <c r="A168" s="1" t="inlineStr">
        <is>
          <t>美西普船</t>
        </is>
      </c>
      <c r="B168" s="1" t="inlineStr">
        <is>
          <t>美西普船</t>
        </is>
      </c>
      <c r="C168" s="1" t="inlineStr">
        <is>
          <t>Y-718专线</t>
        </is>
      </c>
      <c r="D168" s="1" t="inlineStr">
        <is>
          <t>义乌</t>
        </is>
      </c>
      <c r="E168" s="1" t="inlineStr">
        <is>
          <t>SBD2</t>
        </is>
      </c>
      <c r="F168" s="134" t="n">
        <v>9.18</v>
      </c>
      <c r="G168" s="1" t="inlineStr">
        <is>
          <t>RMB/KG</t>
        </is>
      </c>
      <c r="H168" s="134" t="n">
        <v>0</v>
      </c>
      <c r="I168" s="1" t="inlineStr">
        <is>
          <t>2026-10-26</t>
        </is>
      </c>
      <c r="J168" s="1" t="inlineStr">
        <is>
          <t>凯琦FBA报价_当期.xlsx</t>
        </is>
      </c>
      <c r="P168" s="1" t="inlineStr">
        <is>
          <t>XYY4</t>
        </is>
      </c>
    </row>
    <row r="169">
      <c r="A169" s="1" t="inlineStr">
        <is>
          <t>美西普船</t>
        </is>
      </c>
      <c r="B169" s="1" t="inlineStr">
        <is>
          <t>美西普船</t>
        </is>
      </c>
      <c r="C169" s="1" t="inlineStr">
        <is>
          <t>Y-718专线</t>
        </is>
      </c>
      <c r="D169" s="1" t="inlineStr">
        <is>
          <t>义乌</t>
        </is>
      </c>
      <c r="E169" s="1" t="inlineStr">
        <is>
          <t>LGB4</t>
        </is>
      </c>
      <c r="F169" s="134" t="n">
        <v>9.18</v>
      </c>
      <c r="G169" s="1" t="inlineStr">
        <is>
          <t>RMB/KG</t>
        </is>
      </c>
      <c r="H169" s="134" t="n">
        <v>0</v>
      </c>
      <c r="I169" s="1" t="inlineStr">
        <is>
          <t>2026-10-26</t>
        </is>
      </c>
      <c r="J169" s="1" t="inlineStr">
        <is>
          <t>凯琦FBA报价_当期.xlsx</t>
        </is>
      </c>
      <c r="P169" s="1" t="inlineStr">
        <is>
          <t>YEG1</t>
        </is>
      </c>
    </row>
    <row r="170">
      <c r="A170" s="1" t="inlineStr">
        <is>
          <t>美西普船</t>
        </is>
      </c>
      <c r="B170" s="1" t="inlineStr">
        <is>
          <t>美西普船</t>
        </is>
      </c>
      <c r="C170" s="1" t="inlineStr">
        <is>
          <t>Y-718专线</t>
        </is>
      </c>
      <c r="D170" s="1" t="inlineStr">
        <is>
          <t>义乌</t>
        </is>
      </c>
      <c r="E170" s="1" t="inlineStr">
        <is>
          <t>LGB6</t>
        </is>
      </c>
      <c r="F170" s="134" t="n">
        <v>9.18</v>
      </c>
      <c r="G170" s="1" t="inlineStr">
        <is>
          <t>RMB/KG</t>
        </is>
      </c>
      <c r="H170" s="134" t="n">
        <v>0</v>
      </c>
      <c r="I170" s="1" t="inlineStr">
        <is>
          <t>2026-10-26</t>
        </is>
      </c>
      <c r="J170" s="1" t="inlineStr">
        <is>
          <t>凯琦FBA报价_当期.xlsx</t>
        </is>
      </c>
      <c r="P170" s="1" t="inlineStr">
        <is>
          <t>YEG2</t>
        </is>
      </c>
    </row>
    <row r="171">
      <c r="A171" s="1" t="inlineStr">
        <is>
          <t>美西普船</t>
        </is>
      </c>
      <c r="B171" s="1" t="inlineStr">
        <is>
          <t>美西普船</t>
        </is>
      </c>
      <c r="C171" s="1" t="inlineStr">
        <is>
          <t>Y-718专线</t>
        </is>
      </c>
      <c r="D171" s="1" t="inlineStr">
        <is>
          <t>义乌</t>
        </is>
      </c>
      <c r="E171" s="1" t="inlineStr">
        <is>
          <t>IUTL</t>
        </is>
      </c>
      <c r="F171" s="134" t="n">
        <v>9.08</v>
      </c>
      <c r="G171" s="1" t="inlineStr">
        <is>
          <t>RMB/KG</t>
        </is>
      </c>
      <c r="H171" s="134" t="n">
        <v>0</v>
      </c>
      <c r="I171" s="1" t="inlineStr">
        <is>
          <t>2026-10-26</t>
        </is>
      </c>
      <c r="J171" s="1" t="inlineStr">
        <is>
          <t>凯琦FBA报价_当期.xlsx</t>
        </is>
      </c>
      <c r="P171" s="1" t="inlineStr">
        <is>
          <t>YGK1</t>
        </is>
      </c>
    </row>
    <row r="172">
      <c r="A172" s="1" t="inlineStr">
        <is>
          <t>美西普船</t>
        </is>
      </c>
      <c r="B172" s="1" t="inlineStr">
        <is>
          <t>美西普船</t>
        </is>
      </c>
      <c r="C172" s="1" t="inlineStr">
        <is>
          <t>Y-718专线</t>
        </is>
      </c>
      <c r="D172" s="1" t="inlineStr">
        <is>
          <t>义乌</t>
        </is>
      </c>
      <c r="E172" s="1" t="inlineStr">
        <is>
          <t>IUTJ</t>
        </is>
      </c>
      <c r="F172" s="134" t="n">
        <v>9.08</v>
      </c>
      <c r="G172" s="1" t="inlineStr">
        <is>
          <t>RMB/KG</t>
        </is>
      </c>
      <c r="H172" s="134" t="n">
        <v>0</v>
      </c>
      <c r="I172" s="1" t="inlineStr">
        <is>
          <t>2026-10-26</t>
        </is>
      </c>
      <c r="J172" s="1" t="inlineStr">
        <is>
          <t>凯琦FBA报价_当期.xlsx</t>
        </is>
      </c>
      <c r="P172" s="1" t="inlineStr">
        <is>
          <t>YHM1</t>
        </is>
      </c>
    </row>
    <row r="173">
      <c r="A173" s="1" t="inlineStr">
        <is>
          <t>美西普船</t>
        </is>
      </c>
      <c r="B173" s="1" t="inlineStr">
        <is>
          <t>美西普船</t>
        </is>
      </c>
      <c r="C173" s="1" t="inlineStr">
        <is>
          <t>Y-718专线</t>
        </is>
      </c>
      <c r="D173" s="1" t="inlineStr">
        <is>
          <t>义乌</t>
        </is>
      </c>
      <c r="E173" s="1" t="inlineStr">
        <is>
          <t>IUSP</t>
        </is>
      </c>
      <c r="F173" s="134" t="n">
        <v>9.08</v>
      </c>
      <c r="G173" s="1" t="inlineStr">
        <is>
          <t>RMB/KG</t>
        </is>
      </c>
      <c r="H173" s="134" t="n">
        <v>0</v>
      </c>
      <c r="I173" s="1" t="inlineStr">
        <is>
          <t>2026-10-26</t>
        </is>
      </c>
      <c r="J173" s="1" t="inlineStr">
        <is>
          <t>凯琦FBA报价_当期.xlsx</t>
        </is>
      </c>
      <c r="P173" s="1" t="inlineStr">
        <is>
          <t>YOO1</t>
        </is>
      </c>
    </row>
    <row r="174">
      <c r="A174" s="1" t="inlineStr">
        <is>
          <t>美西普船</t>
        </is>
      </c>
      <c r="B174" s="1" t="inlineStr">
        <is>
          <t>美西普船</t>
        </is>
      </c>
      <c r="C174" s="1" t="inlineStr">
        <is>
          <t>Y-718专线</t>
        </is>
      </c>
      <c r="D174" s="1" t="inlineStr">
        <is>
          <t>义乌</t>
        </is>
      </c>
      <c r="E174" s="1" t="inlineStr">
        <is>
          <t>IUSJ</t>
        </is>
      </c>
      <c r="F174" s="134" t="n">
        <v>9.08</v>
      </c>
      <c r="G174" s="1" t="inlineStr">
        <is>
          <t>RMB/KG</t>
        </is>
      </c>
      <c r="H174" s="134" t="n">
        <v>0</v>
      </c>
      <c r="I174" s="1" t="inlineStr">
        <is>
          <t>2026-10-26</t>
        </is>
      </c>
      <c r="J174" s="1" t="inlineStr">
        <is>
          <t>凯琦FBA报价_当期.xlsx</t>
        </is>
      </c>
      <c r="P174" s="1" t="inlineStr">
        <is>
          <t>YOW1</t>
        </is>
      </c>
    </row>
    <row r="175">
      <c r="A175" s="1" t="inlineStr">
        <is>
          <t>美西普船</t>
        </is>
      </c>
      <c r="B175" s="1" t="inlineStr">
        <is>
          <t>美西普船</t>
        </is>
      </c>
      <c r="C175" s="1" t="inlineStr">
        <is>
          <t>Y-718专线</t>
        </is>
      </c>
      <c r="D175" s="1" t="inlineStr">
        <is>
          <t>义乌</t>
        </is>
      </c>
      <c r="E175" s="1" t="inlineStr">
        <is>
          <t>PSP3</t>
        </is>
      </c>
      <c r="F175" s="134" t="n">
        <v>9.08</v>
      </c>
      <c r="G175" s="1" t="inlineStr">
        <is>
          <t>RMB/KG</t>
        </is>
      </c>
      <c r="H175" s="134" t="n">
        <v>0</v>
      </c>
      <c r="I175" s="1" t="inlineStr">
        <is>
          <t>2026-10-26</t>
        </is>
      </c>
      <c r="J175" s="1" t="inlineStr">
        <is>
          <t>凯琦FBA报价_当期.xlsx</t>
        </is>
      </c>
      <c r="P175" s="1" t="inlineStr">
        <is>
          <t>YOW3</t>
        </is>
      </c>
    </row>
    <row r="176">
      <c r="A176" s="1" t="inlineStr">
        <is>
          <t>美西普船</t>
        </is>
      </c>
      <c r="B176" s="1" t="inlineStr">
        <is>
          <t>美西普船</t>
        </is>
      </c>
      <c r="C176" s="1" t="inlineStr">
        <is>
          <t>Y-718专线</t>
        </is>
      </c>
      <c r="D176" s="1" t="inlineStr">
        <is>
          <t>义乌</t>
        </is>
      </c>
      <c r="E176" s="1" t="inlineStr">
        <is>
          <t>LAS6</t>
        </is>
      </c>
      <c r="F176" s="134" t="n">
        <v>9.779999999999999</v>
      </c>
      <c r="G176" s="1" t="inlineStr">
        <is>
          <t>RMB/KG</t>
        </is>
      </c>
      <c r="H176" s="134" t="n">
        <v>0</v>
      </c>
      <c r="I176" s="1" t="inlineStr">
        <is>
          <t>2026-10-26</t>
        </is>
      </c>
      <c r="J176" s="1" t="inlineStr">
        <is>
          <t>凯琦FBA报价_当期.xlsx</t>
        </is>
      </c>
      <c r="P176" s="1" t="inlineStr">
        <is>
          <t>YVR1</t>
        </is>
      </c>
    </row>
    <row r="177">
      <c r="A177" s="1" t="inlineStr">
        <is>
          <t>美西普船</t>
        </is>
      </c>
      <c r="B177" s="1" t="inlineStr">
        <is>
          <t>美西普船</t>
        </is>
      </c>
      <c r="C177" s="1" t="inlineStr">
        <is>
          <t>Y-718专线</t>
        </is>
      </c>
      <c r="D177" s="1" t="inlineStr">
        <is>
          <t>义乌</t>
        </is>
      </c>
      <c r="E177" s="1" t="inlineStr">
        <is>
          <t>FAT2</t>
        </is>
      </c>
      <c r="F177" s="134" t="n">
        <v>9.58</v>
      </c>
      <c r="G177" s="1" t="inlineStr">
        <is>
          <t>RMB/KG</t>
        </is>
      </c>
      <c r="H177" s="134" t="n">
        <v>0</v>
      </c>
      <c r="I177" s="1" t="inlineStr">
        <is>
          <t>2026-10-26</t>
        </is>
      </c>
      <c r="J177" s="1" t="inlineStr">
        <is>
          <t>凯琦FBA报价_当期.xlsx</t>
        </is>
      </c>
      <c r="P177" s="1" t="inlineStr">
        <is>
          <t>YVR2</t>
        </is>
      </c>
    </row>
    <row r="178">
      <c r="A178" s="1" t="inlineStr">
        <is>
          <t>美西普船</t>
        </is>
      </c>
      <c r="B178" s="1" t="inlineStr">
        <is>
          <t>美西普船</t>
        </is>
      </c>
      <c r="C178" s="1" t="inlineStr">
        <is>
          <t>Y-718专线</t>
        </is>
      </c>
      <c r="D178" s="1" t="inlineStr">
        <is>
          <t>义乌</t>
        </is>
      </c>
      <c r="E178" s="1" t="inlineStr">
        <is>
          <t>OAK3</t>
        </is>
      </c>
      <c r="F178" s="134" t="n">
        <v>9.880000000000001</v>
      </c>
      <c r="G178" s="1" t="inlineStr">
        <is>
          <t>RMB/KG</t>
        </is>
      </c>
      <c r="H178" s="134" t="n">
        <v>0</v>
      </c>
      <c r="I178" s="1" t="inlineStr">
        <is>
          <t>2026-10-26</t>
        </is>
      </c>
      <c r="J178" s="1" t="inlineStr">
        <is>
          <t>凯琦FBA报价_当期.xlsx</t>
        </is>
      </c>
      <c r="P178" s="1" t="inlineStr">
        <is>
          <t>YVR3</t>
        </is>
      </c>
    </row>
    <row r="179">
      <c r="A179" s="1" t="inlineStr">
        <is>
          <t>美西普船</t>
        </is>
      </c>
      <c r="B179" s="1" t="inlineStr">
        <is>
          <t>美西普船</t>
        </is>
      </c>
      <c r="C179" s="1" t="inlineStr">
        <is>
          <t>Y-718专线</t>
        </is>
      </c>
      <c r="D179" s="1" t="inlineStr">
        <is>
          <t>义乌</t>
        </is>
      </c>
      <c r="E179" s="1" t="inlineStr">
        <is>
          <t>MCE1</t>
        </is>
      </c>
      <c r="F179" s="134" t="n">
        <v>9.880000000000001</v>
      </c>
      <c r="G179" s="1" t="inlineStr">
        <is>
          <t>RMB/KG</t>
        </is>
      </c>
      <c r="H179" s="134" t="n">
        <v>0</v>
      </c>
      <c r="I179" s="1" t="inlineStr">
        <is>
          <t>2026-10-26</t>
        </is>
      </c>
      <c r="J179" s="1" t="inlineStr">
        <is>
          <t>凯琦FBA报价_当期.xlsx</t>
        </is>
      </c>
      <c r="P179" s="1" t="inlineStr">
        <is>
          <t>YVR4</t>
        </is>
      </c>
    </row>
    <row r="180">
      <c r="A180" s="1" t="inlineStr">
        <is>
          <t>美西普船</t>
        </is>
      </c>
      <c r="B180" s="1" t="inlineStr">
        <is>
          <t>美西普船</t>
        </is>
      </c>
      <c r="C180" s="1" t="inlineStr">
        <is>
          <t>Y-718专线</t>
        </is>
      </c>
      <c r="D180" s="1" t="inlineStr">
        <is>
          <t>义乌</t>
        </is>
      </c>
      <c r="E180" s="1" t="inlineStr">
        <is>
          <t>PHX5</t>
        </is>
      </c>
      <c r="F180" s="134" t="n">
        <v>9.880000000000001</v>
      </c>
      <c r="G180" s="1" t="inlineStr">
        <is>
          <t>RMB/KG</t>
        </is>
      </c>
      <c r="H180" s="134" t="n">
        <v>0</v>
      </c>
      <c r="I180" s="1" t="inlineStr">
        <is>
          <t>2026-10-26</t>
        </is>
      </c>
      <c r="J180" s="1" t="inlineStr">
        <is>
          <t>凯琦FBA报价_当期.xlsx</t>
        </is>
      </c>
      <c r="P180" s="1" t="inlineStr">
        <is>
          <t>YXU1</t>
        </is>
      </c>
    </row>
    <row r="181">
      <c r="A181" s="1" t="inlineStr">
        <is>
          <t>美西普船</t>
        </is>
      </c>
      <c r="B181" s="1" t="inlineStr">
        <is>
          <t>美西普船</t>
        </is>
      </c>
      <c r="C181" s="1" t="inlineStr">
        <is>
          <t>Y-718专线</t>
        </is>
      </c>
      <c r="D181" s="1" t="inlineStr">
        <is>
          <t>义乌</t>
        </is>
      </c>
      <c r="E181" s="1" t="inlineStr">
        <is>
          <t>PHX7</t>
        </is>
      </c>
      <c r="F181" s="134" t="n">
        <v>9.880000000000001</v>
      </c>
      <c r="G181" s="1" t="inlineStr">
        <is>
          <t>RMB/KG</t>
        </is>
      </c>
      <c r="H181" s="134" t="n">
        <v>0</v>
      </c>
      <c r="I181" s="1" t="inlineStr">
        <is>
          <t>2026-10-26</t>
        </is>
      </c>
      <c r="J181" s="1" t="inlineStr">
        <is>
          <t>凯琦FBA报价_当期.xlsx</t>
        </is>
      </c>
      <c r="P181" s="1" t="inlineStr">
        <is>
          <t>YXX2</t>
        </is>
      </c>
    </row>
    <row r="182">
      <c r="A182" s="1" t="inlineStr">
        <is>
          <t>美西普船</t>
        </is>
      </c>
      <c r="B182" s="1" t="inlineStr">
        <is>
          <t>美西普船</t>
        </is>
      </c>
      <c r="C182" s="1" t="inlineStr">
        <is>
          <t>Y-718专线</t>
        </is>
      </c>
      <c r="D182" s="1" t="inlineStr">
        <is>
          <t>义乌</t>
        </is>
      </c>
      <c r="E182" s="1" t="inlineStr">
        <is>
          <t>LAS1</t>
        </is>
      </c>
      <c r="F182" s="134" t="n">
        <v>9.58</v>
      </c>
      <c r="G182" s="1" t="inlineStr">
        <is>
          <t>RMB/KG</t>
        </is>
      </c>
      <c r="H182" s="134" t="n">
        <v>0</v>
      </c>
      <c r="I182" s="1" t="inlineStr">
        <is>
          <t>2026-10-26</t>
        </is>
      </c>
      <c r="J182" s="1" t="inlineStr">
        <is>
          <t>凯琦FBA报价_当期.xlsx</t>
        </is>
      </c>
      <c r="P182" s="1" t="inlineStr">
        <is>
          <t>YYC1</t>
        </is>
      </c>
    </row>
    <row r="183">
      <c r="A183" s="1" t="inlineStr">
        <is>
          <t>美西普船</t>
        </is>
      </c>
      <c r="B183" s="1" t="inlineStr">
        <is>
          <t>美西普船</t>
        </is>
      </c>
      <c r="C183" s="1" t="inlineStr">
        <is>
          <t>Y-718专线</t>
        </is>
      </c>
      <c r="D183" s="1" t="inlineStr">
        <is>
          <t>义乌</t>
        </is>
      </c>
      <c r="E183" s="1" t="inlineStr">
        <is>
          <t>GYR2</t>
        </is>
      </c>
      <c r="F183" s="134" t="n">
        <v>9.58</v>
      </c>
      <c r="G183" s="1" t="inlineStr">
        <is>
          <t>RMB/KG</t>
        </is>
      </c>
      <c r="H183" s="134" t="n">
        <v>0</v>
      </c>
      <c r="I183" s="1" t="inlineStr">
        <is>
          <t>2026-10-26</t>
        </is>
      </c>
      <c r="J183" s="1" t="inlineStr">
        <is>
          <t>凯琦FBA报价_当期.xlsx</t>
        </is>
      </c>
      <c r="P183" s="1" t="inlineStr">
        <is>
          <t>YYC4</t>
        </is>
      </c>
    </row>
    <row r="184">
      <c r="A184" s="1" t="inlineStr">
        <is>
          <t>美西普船</t>
        </is>
      </c>
      <c r="B184" s="1" t="inlineStr">
        <is>
          <t>美西普船</t>
        </is>
      </c>
      <c r="C184" s="1" t="inlineStr">
        <is>
          <t>Y-718专线</t>
        </is>
      </c>
      <c r="D184" s="1" t="inlineStr">
        <is>
          <t>义乌</t>
        </is>
      </c>
      <c r="E184" s="1" t="inlineStr">
        <is>
          <t>GYR3</t>
        </is>
      </c>
      <c r="F184" s="134" t="n">
        <v>9.58</v>
      </c>
      <c r="G184" s="1" t="inlineStr">
        <is>
          <t>RMB/KG</t>
        </is>
      </c>
      <c r="H184" s="134" t="n">
        <v>0</v>
      </c>
      <c r="I184" s="1" t="inlineStr">
        <is>
          <t>2026-10-26</t>
        </is>
      </c>
      <c r="J184" s="1" t="inlineStr">
        <is>
          <t>凯琦FBA报价_当期.xlsx</t>
        </is>
      </c>
      <c r="P184" s="1" t="inlineStr">
        <is>
          <t>YYC6</t>
        </is>
      </c>
    </row>
    <row r="185">
      <c r="A185" s="1" t="inlineStr">
        <is>
          <t>美西普船</t>
        </is>
      </c>
      <c r="B185" s="1" t="inlineStr">
        <is>
          <t>美西普船</t>
        </is>
      </c>
      <c r="C185" s="1" t="inlineStr">
        <is>
          <t>Y-718专线</t>
        </is>
      </c>
      <c r="D185" s="1" t="inlineStr">
        <is>
          <t>义乌</t>
        </is>
      </c>
      <c r="E185" s="1" t="inlineStr">
        <is>
          <t>VGT2</t>
        </is>
      </c>
      <c r="F185" s="134" t="n">
        <v>9.58</v>
      </c>
      <c r="G185" s="1" t="inlineStr">
        <is>
          <t>RMB/KG</t>
        </is>
      </c>
      <c r="H185" s="134" t="n">
        <v>0</v>
      </c>
      <c r="I185" s="1" t="inlineStr">
        <is>
          <t>2026-10-26</t>
        </is>
      </c>
      <c r="J185" s="1" t="inlineStr">
        <is>
          <t>凯琦FBA报价_当期.xlsx</t>
        </is>
      </c>
      <c r="P185" s="1" t="inlineStr">
        <is>
          <t>YYZ1</t>
        </is>
      </c>
    </row>
    <row r="186">
      <c r="A186" s="1" t="inlineStr">
        <is>
          <t>美西普船</t>
        </is>
      </c>
      <c r="B186" s="1" t="inlineStr">
        <is>
          <t>美西普船</t>
        </is>
      </c>
      <c r="C186" s="1" t="inlineStr">
        <is>
          <t>Y-718专线</t>
        </is>
      </c>
      <c r="D186" s="1" t="inlineStr">
        <is>
          <t>义乌</t>
        </is>
      </c>
      <c r="E186" s="1" t="inlineStr">
        <is>
          <t>GEU3</t>
        </is>
      </c>
      <c r="F186" s="134" t="n">
        <v>9.58</v>
      </c>
      <c r="G186" s="1" t="inlineStr">
        <is>
          <t>RMB/KG</t>
        </is>
      </c>
      <c r="H186" s="134" t="n">
        <v>0</v>
      </c>
      <c r="I186" s="1" t="inlineStr">
        <is>
          <t>2026-10-26</t>
        </is>
      </c>
      <c r="J186" s="1" t="inlineStr">
        <is>
          <t>凯琦FBA报价_当期.xlsx</t>
        </is>
      </c>
      <c r="P186" s="1" t="inlineStr">
        <is>
          <t>YYZ3</t>
        </is>
      </c>
    </row>
    <row r="187">
      <c r="A187" s="1" t="inlineStr">
        <is>
          <t>美西普船</t>
        </is>
      </c>
      <c r="B187" s="1" t="inlineStr">
        <is>
          <t>美西普船</t>
        </is>
      </c>
      <c r="C187" s="1" t="inlineStr">
        <is>
          <t>Y-718专线</t>
        </is>
      </c>
      <c r="D187" s="1" t="inlineStr">
        <is>
          <t>义乌</t>
        </is>
      </c>
      <c r="E187" s="1" t="inlineStr">
        <is>
          <t>HLI2</t>
        </is>
      </c>
      <c r="F187" s="134" t="n">
        <v>9.779999999999999</v>
      </c>
      <c r="G187" s="1" t="inlineStr">
        <is>
          <t>RMB/KG</t>
        </is>
      </c>
      <c r="H187" s="134" t="n">
        <v>0</v>
      </c>
      <c r="I187" s="1" t="inlineStr">
        <is>
          <t>2026-10-26</t>
        </is>
      </c>
      <c r="J187" s="1" t="inlineStr">
        <is>
          <t>凯琦FBA报价_当期.xlsx</t>
        </is>
      </c>
      <c r="P187" s="1" t="inlineStr">
        <is>
          <t>YYZ4</t>
        </is>
      </c>
    </row>
    <row r="188">
      <c r="A188" s="1" t="inlineStr">
        <is>
          <t>美西普船</t>
        </is>
      </c>
      <c r="B188" s="1" t="inlineStr">
        <is>
          <t>美西普船</t>
        </is>
      </c>
      <c r="C188" s="1" t="inlineStr">
        <is>
          <t>Y-718专线</t>
        </is>
      </c>
      <c r="D188" s="1" t="inlineStr">
        <is>
          <t>义乌</t>
        </is>
      </c>
      <c r="E188" s="1" t="inlineStr">
        <is>
          <t>MIT2</t>
        </is>
      </c>
      <c r="F188" s="134" t="n">
        <v>9.58</v>
      </c>
      <c r="G188" s="1" t="inlineStr">
        <is>
          <t>RMB/KG</t>
        </is>
      </c>
      <c r="H188" s="134" t="n">
        <v>0</v>
      </c>
      <c r="I188" s="1" t="inlineStr">
        <is>
          <t>2026-10-26</t>
        </is>
      </c>
      <c r="J188" s="1" t="inlineStr">
        <is>
          <t>凯琦FBA报价_当期.xlsx</t>
        </is>
      </c>
      <c r="P188" s="1" t="inlineStr">
        <is>
          <t>YYZ6</t>
        </is>
      </c>
    </row>
    <row r="189">
      <c r="A189" s="1" t="inlineStr">
        <is>
          <t>美西普船</t>
        </is>
      </c>
      <c r="B189" s="1" t="inlineStr">
        <is>
          <t>美西普船</t>
        </is>
      </c>
      <c r="C189" s="1" t="inlineStr">
        <is>
          <t>Y-718专线</t>
        </is>
      </c>
      <c r="D189" s="1" t="inlineStr">
        <is>
          <t>义乌</t>
        </is>
      </c>
      <c r="E189" s="1" t="inlineStr">
        <is>
          <t>GEU2</t>
        </is>
      </c>
      <c r="F189" s="134" t="n">
        <v>9.58</v>
      </c>
      <c r="G189" s="1" t="inlineStr">
        <is>
          <t>RMB/KG</t>
        </is>
      </c>
      <c r="H189" s="134" t="n">
        <v>0</v>
      </c>
      <c r="I189" s="1" t="inlineStr">
        <is>
          <t>2026-10-26</t>
        </is>
      </c>
      <c r="J189" s="1" t="inlineStr">
        <is>
          <t>凯琦FBA报价_当期.xlsx</t>
        </is>
      </c>
      <c r="P189" s="1" t="inlineStr">
        <is>
          <t>YYZ7</t>
        </is>
      </c>
    </row>
    <row r="190">
      <c r="A190" s="1" t="inlineStr">
        <is>
          <t>美西普船</t>
        </is>
      </c>
      <c r="B190" s="1" t="inlineStr">
        <is>
          <t>美西普船</t>
        </is>
      </c>
      <c r="C190" s="1" t="inlineStr">
        <is>
          <t>Y-718专线</t>
        </is>
      </c>
      <c r="D190" s="1" t="inlineStr">
        <is>
          <t>义乌</t>
        </is>
      </c>
      <c r="E190" s="1" t="inlineStr">
        <is>
          <t>SMF3</t>
        </is>
      </c>
      <c r="F190" s="134" t="n">
        <v>9.779999999999999</v>
      </c>
      <c r="G190" s="1" t="inlineStr">
        <is>
          <t>RMB/KG</t>
        </is>
      </c>
      <c r="H190" s="134" t="n">
        <v>0</v>
      </c>
      <c r="I190" s="1" t="inlineStr">
        <is>
          <t>2026-10-26</t>
        </is>
      </c>
      <c r="J190" s="1" t="inlineStr">
        <is>
          <t>凯琦FBA报价_当期.xlsx</t>
        </is>
      </c>
      <c r="P190" s="1" t="inlineStr">
        <is>
          <t>YYZ9</t>
        </is>
      </c>
    </row>
    <row r="191">
      <c r="A191" s="1" t="inlineStr">
        <is>
          <t>美西普船</t>
        </is>
      </c>
      <c r="B191" s="1" t="inlineStr">
        <is>
          <t>美西普船</t>
        </is>
      </c>
      <c r="C191" s="1" t="inlineStr">
        <is>
          <t>Y-718专线</t>
        </is>
      </c>
      <c r="D191" s="1" t="inlineStr">
        <is>
          <t>义乌</t>
        </is>
      </c>
      <c r="E191" s="1" t="inlineStr">
        <is>
          <t>SMF6</t>
        </is>
      </c>
      <c r="F191" s="134" t="n">
        <v>10.48</v>
      </c>
      <c r="G191" s="1" t="inlineStr">
        <is>
          <t>RMB/KG</t>
        </is>
      </c>
      <c r="H191" s="134" t="n">
        <v>0</v>
      </c>
      <c r="I191" s="1" t="inlineStr">
        <is>
          <t>2026-10-26</t>
        </is>
      </c>
      <c r="J191" s="1" t="inlineStr">
        <is>
          <t>凯琦FBA报价_当期.xlsx</t>
        </is>
      </c>
      <c r="P191" s="1" t="inlineStr">
        <is>
          <t>凯琦美西仓</t>
        </is>
      </c>
    </row>
    <row r="192">
      <c r="A192" s="1" t="inlineStr">
        <is>
          <t>美西普船</t>
        </is>
      </c>
      <c r="B192" s="1" t="inlineStr">
        <is>
          <t>美西普船</t>
        </is>
      </c>
      <c r="C192" s="1" t="inlineStr">
        <is>
          <t>Y-718专线</t>
        </is>
      </c>
      <c r="D192" s="1" t="inlineStr">
        <is>
          <t>义乌</t>
        </is>
      </c>
      <c r="E192" s="1" t="inlineStr">
        <is>
          <t>SCK1</t>
        </is>
      </c>
      <c r="F192" s="134" t="n">
        <v>9.98</v>
      </c>
      <c r="G192" s="1" t="inlineStr">
        <is>
          <t>RMB/KG</t>
        </is>
      </c>
      <c r="H192" s="134" t="n">
        <v>0</v>
      </c>
      <c r="I192" s="1" t="inlineStr">
        <is>
          <t>2026-10-26</t>
        </is>
      </c>
      <c r="J192" s="1" t="inlineStr">
        <is>
          <t>凯琦FBA报价_当期.xlsx</t>
        </is>
      </c>
      <c r="P192" s="1" t="inlineStr">
        <is>
          <t>商业地址</t>
        </is>
      </c>
    </row>
    <row r="193">
      <c r="A193" s="1" t="inlineStr">
        <is>
          <t>美西普船</t>
        </is>
      </c>
      <c r="B193" s="1" t="inlineStr">
        <is>
          <t>美西普船</t>
        </is>
      </c>
      <c r="C193" s="1" t="inlineStr">
        <is>
          <t>Y-718专线</t>
        </is>
      </c>
      <c r="D193" s="1" t="inlineStr">
        <is>
          <t>义乌</t>
        </is>
      </c>
      <c r="E193" s="1" t="inlineStr">
        <is>
          <t>SCK8</t>
        </is>
      </c>
      <c r="F193" s="134" t="n">
        <v>9.880000000000001</v>
      </c>
      <c r="G193" s="1" t="inlineStr">
        <is>
          <t>RMB/KG</t>
        </is>
      </c>
      <c r="H193" s="134" t="n">
        <v>0</v>
      </c>
      <c r="I193" s="1" t="inlineStr">
        <is>
          <t>2026-10-26</t>
        </is>
      </c>
      <c r="J193" s="1" t="inlineStr">
        <is>
          <t>凯琦FBA报价_当期.xlsx</t>
        </is>
      </c>
      <c r="P193" s="1" t="inlineStr">
        <is>
          <t>美国东岸(邮编0.1.2.3.4开头)</t>
        </is>
      </c>
    </row>
    <row r="194">
      <c r="A194" s="1" t="inlineStr">
        <is>
          <t>美西普船</t>
        </is>
      </c>
      <c r="B194" s="1" t="inlineStr">
        <is>
          <t>美西普船</t>
        </is>
      </c>
      <c r="C194" s="1" t="inlineStr">
        <is>
          <t>Y-718专线</t>
        </is>
      </c>
      <c r="D194" s="1" t="inlineStr">
        <is>
          <t>义乌</t>
        </is>
      </c>
      <c r="E194" s="1" t="inlineStr">
        <is>
          <t>SCK4</t>
        </is>
      </c>
      <c r="F194" s="134" t="n">
        <v>9.779999999999999</v>
      </c>
      <c r="G194" s="1" t="inlineStr">
        <is>
          <t>RMB/KG</t>
        </is>
      </c>
      <c r="H194" s="134" t="n">
        <v>0</v>
      </c>
      <c r="I194" s="1" t="inlineStr">
        <is>
          <t>2026-10-26</t>
        </is>
      </c>
      <c r="J194" s="1" t="inlineStr">
        <is>
          <t>凯琦FBA报价_当期.xlsx</t>
        </is>
      </c>
      <c r="P194" s="1" t="inlineStr">
        <is>
          <t>美国中部(邮编5.6.7开头)</t>
        </is>
      </c>
    </row>
    <row r="195">
      <c r="A195" s="1" t="inlineStr">
        <is>
          <t>美西普船</t>
        </is>
      </c>
      <c r="B195" s="1" t="inlineStr">
        <is>
          <t>美西普船</t>
        </is>
      </c>
      <c r="C195" s="1" t="inlineStr">
        <is>
          <t>Y-718专线</t>
        </is>
      </c>
      <c r="D195" s="1" t="inlineStr">
        <is>
          <t>义乌</t>
        </is>
      </c>
      <c r="E195" s="1" t="inlineStr">
        <is>
          <t>TCY1</t>
        </is>
      </c>
      <c r="F195" s="134" t="n">
        <v>9.779999999999999</v>
      </c>
      <c r="G195" s="1" t="inlineStr">
        <is>
          <t>RMB/KG</t>
        </is>
      </c>
      <c r="H195" s="134" t="n">
        <v>0</v>
      </c>
      <c r="I195" s="1" t="inlineStr">
        <is>
          <t>2026-10-26</t>
        </is>
      </c>
      <c r="J195" s="1" t="inlineStr">
        <is>
          <t>凯琦FBA报价_当期.xlsx</t>
        </is>
      </c>
      <c r="P195" s="1" t="inlineStr">
        <is>
          <t>美国西岸北（邮编97.98.99开头）</t>
        </is>
      </c>
    </row>
    <row r="196">
      <c r="A196" s="1" t="inlineStr">
        <is>
          <t>美西普船</t>
        </is>
      </c>
      <c r="B196" s="1" t="inlineStr">
        <is>
          <t>美西普船</t>
        </is>
      </c>
      <c r="C196" s="1" t="inlineStr">
        <is>
          <t>Y-718专线</t>
        </is>
      </c>
      <c r="D196" s="1" t="inlineStr">
        <is>
          <t>义乌</t>
        </is>
      </c>
      <c r="E196" s="1" t="inlineStr">
        <is>
          <t>TCY2</t>
        </is>
      </c>
      <c r="F196" s="134" t="n">
        <v>9.779999999999999</v>
      </c>
      <c r="G196" s="1" t="inlineStr">
        <is>
          <t>RMB/KG</t>
        </is>
      </c>
      <c r="H196" s="134" t="n">
        <v>0</v>
      </c>
      <c r="I196" s="1" t="inlineStr">
        <is>
          <t>2026-10-26</t>
        </is>
      </c>
      <c r="J196" s="1" t="inlineStr">
        <is>
          <t>凯琦FBA报价_当期.xlsx</t>
        </is>
      </c>
    </row>
    <row r="197">
      <c r="A197" s="1" t="inlineStr">
        <is>
          <t>美西普船</t>
        </is>
      </c>
      <c r="B197" s="1" t="inlineStr">
        <is>
          <t>美西普船</t>
        </is>
      </c>
      <c r="C197" s="1" t="inlineStr">
        <is>
          <t>Y-718专线</t>
        </is>
      </c>
      <c r="D197" s="1" t="inlineStr">
        <is>
          <t>义乌</t>
        </is>
      </c>
      <c r="E197" s="1" t="inlineStr">
        <is>
          <t>QXY8</t>
        </is>
      </c>
      <c r="F197" s="134" t="n">
        <v>9.880000000000001</v>
      </c>
      <c r="G197" s="1" t="inlineStr">
        <is>
          <t>RMB/KG</t>
        </is>
      </c>
      <c r="H197" s="134" t="n">
        <v>0</v>
      </c>
      <c r="I197" s="1" t="inlineStr">
        <is>
          <t>2026-10-26</t>
        </is>
      </c>
      <c r="J197" s="1" t="inlineStr">
        <is>
          <t>凯琦FBA报价_当期.xlsx</t>
        </is>
      </c>
    </row>
    <row r="198">
      <c r="A198" s="1" t="inlineStr">
        <is>
          <t>美西普船</t>
        </is>
      </c>
      <c r="B198" s="1" t="inlineStr">
        <is>
          <t>美西普船</t>
        </is>
      </c>
      <c r="C198" s="1" t="inlineStr">
        <is>
          <t>Y-718专线</t>
        </is>
      </c>
      <c r="D198" s="1" t="inlineStr">
        <is>
          <t>义乌</t>
        </is>
      </c>
      <c r="E198" s="1" t="inlineStr">
        <is>
          <t>IUTE</t>
        </is>
      </c>
      <c r="F198" s="134" t="n">
        <v>10.48</v>
      </c>
      <c r="G198" s="1" t="inlineStr">
        <is>
          <t>RMB/KG</t>
        </is>
      </c>
      <c r="H198" s="134" t="n">
        <v>0</v>
      </c>
      <c r="I198" s="1" t="inlineStr">
        <is>
          <t>2026-10-26</t>
        </is>
      </c>
      <c r="J198" s="1" t="inlineStr">
        <is>
          <t>凯琦FBA报价_当期.xlsx</t>
        </is>
      </c>
    </row>
    <row r="199">
      <c r="A199" s="1" t="inlineStr">
        <is>
          <t>美西普船</t>
        </is>
      </c>
      <c r="B199" s="1" t="inlineStr">
        <is>
          <t>美西普船</t>
        </is>
      </c>
      <c r="C199" s="1" t="inlineStr">
        <is>
          <t>Y-718专线</t>
        </is>
      </c>
      <c r="D199" s="1" t="inlineStr">
        <is>
          <t>义乌</t>
        </is>
      </c>
      <c r="E199" s="1" t="inlineStr">
        <is>
          <t>ABQ2</t>
        </is>
      </c>
      <c r="F199" s="134" t="n">
        <v>10.58</v>
      </c>
      <c r="G199" s="1" t="inlineStr">
        <is>
          <t>RMB/KG</t>
        </is>
      </c>
      <c r="H199" s="134" t="n">
        <v>0</v>
      </c>
      <c r="I199" s="1" t="inlineStr">
        <is>
          <t>2026-10-26</t>
        </is>
      </c>
      <c r="J199" s="1" t="inlineStr">
        <is>
          <t>凯琦FBA报价_当期.xlsx</t>
        </is>
      </c>
    </row>
    <row r="200">
      <c r="A200" s="1" t="inlineStr">
        <is>
          <t>美西普船</t>
        </is>
      </c>
      <c r="B200" s="1" t="inlineStr">
        <is>
          <t>美西普船</t>
        </is>
      </c>
      <c r="C200" s="1" t="inlineStr">
        <is>
          <t>Y-718专线</t>
        </is>
      </c>
      <c r="D200" s="1" t="inlineStr">
        <is>
          <t>义乌</t>
        </is>
      </c>
      <c r="E200" s="1" t="inlineStr">
        <is>
          <t>MCC1</t>
        </is>
      </c>
      <c r="F200" s="134" t="n">
        <v>10.08</v>
      </c>
      <c r="G200" s="1" t="inlineStr">
        <is>
          <t>RMB/KG</t>
        </is>
      </c>
      <c r="H200" s="134" t="n">
        <v>0</v>
      </c>
      <c r="I200" s="1" t="inlineStr">
        <is>
          <t>2026-10-26</t>
        </is>
      </c>
      <c r="J200" s="1" t="inlineStr">
        <is>
          <t>凯琦FBA报价_当期.xlsx</t>
        </is>
      </c>
    </row>
    <row r="201">
      <c r="A201" s="1" t="inlineStr">
        <is>
          <t>美西普船</t>
        </is>
      </c>
      <c r="B201" s="1" t="inlineStr">
        <is>
          <t>美西普船</t>
        </is>
      </c>
      <c r="C201" s="1" t="inlineStr">
        <is>
          <t>Y-718专线</t>
        </is>
      </c>
      <c r="D201" s="1" t="inlineStr">
        <is>
          <t>义乌</t>
        </is>
      </c>
      <c r="E201" s="1" t="inlineStr">
        <is>
          <t>IAZ1</t>
        </is>
      </c>
      <c r="F201" s="134" t="n">
        <v>10.08</v>
      </c>
      <c r="G201" s="1" t="inlineStr">
        <is>
          <t>RMB/KG</t>
        </is>
      </c>
      <c r="H201" s="134" t="n">
        <v>0</v>
      </c>
      <c r="I201" s="1" t="inlineStr">
        <is>
          <t>2026-10-26</t>
        </is>
      </c>
      <c r="J201" s="1" t="inlineStr">
        <is>
          <t>凯琦FBA报价_当期.xlsx</t>
        </is>
      </c>
    </row>
    <row r="202">
      <c r="A202" s="1" t="inlineStr">
        <is>
          <t>美西普船</t>
        </is>
      </c>
      <c r="B202" s="1" t="inlineStr">
        <is>
          <t>美西普船</t>
        </is>
      </c>
      <c r="C202" s="1" t="inlineStr">
        <is>
          <t>Y-718专线</t>
        </is>
      </c>
      <c r="D202" s="1" t="inlineStr">
        <is>
          <t>义乌</t>
        </is>
      </c>
      <c r="E202" s="1" t="inlineStr">
        <is>
          <t>FTW1</t>
        </is>
      </c>
      <c r="F202" s="134" t="n">
        <v>12.18</v>
      </c>
      <c r="G202" s="1" t="inlineStr">
        <is>
          <t>RMB/KG</t>
        </is>
      </c>
      <c r="H202" s="134" t="n">
        <v>0</v>
      </c>
      <c r="I202" s="1" t="inlineStr">
        <is>
          <t>2026-10-26</t>
        </is>
      </c>
      <c r="J202" s="1" t="inlineStr">
        <is>
          <t>凯琦FBA报价_当期.xlsx</t>
        </is>
      </c>
    </row>
    <row r="203">
      <c r="A203" s="1" t="inlineStr">
        <is>
          <t>美西普船</t>
        </is>
      </c>
      <c r="B203" s="1" t="inlineStr">
        <is>
          <t>美西普船</t>
        </is>
      </c>
      <c r="C203" s="1" t="inlineStr">
        <is>
          <t>Y-718专线</t>
        </is>
      </c>
      <c r="D203" s="1" t="inlineStr">
        <is>
          <t>义乌</t>
        </is>
      </c>
      <c r="E203" s="1" t="inlineStr">
        <is>
          <t>IAH3</t>
        </is>
      </c>
      <c r="F203" s="134" t="n">
        <v>12.28</v>
      </c>
      <c r="G203" s="1" t="inlineStr">
        <is>
          <t>RMB/KG</t>
        </is>
      </c>
      <c r="H203" s="134" t="n">
        <v>0</v>
      </c>
      <c r="I203" s="1" t="inlineStr">
        <is>
          <t>2026-10-26</t>
        </is>
      </c>
      <c r="J203" s="1" t="inlineStr">
        <is>
          <t>凯琦FBA报价_当期.xlsx</t>
        </is>
      </c>
    </row>
    <row r="204">
      <c r="A204" s="1" t="inlineStr">
        <is>
          <t>美西普船</t>
        </is>
      </c>
      <c r="B204" s="1" t="inlineStr">
        <is>
          <t>美西普船</t>
        </is>
      </c>
      <c r="C204" s="1" t="inlineStr">
        <is>
          <t>Y-718专线</t>
        </is>
      </c>
      <c r="D204" s="1" t="inlineStr">
        <is>
          <t>义乌</t>
        </is>
      </c>
      <c r="E204" s="1" t="inlineStr">
        <is>
          <t>MDW2</t>
        </is>
      </c>
      <c r="F204" s="134" t="n">
        <v>13.08</v>
      </c>
      <c r="G204" s="1" t="inlineStr">
        <is>
          <t>RMB/KG</t>
        </is>
      </c>
      <c r="H204" s="134" t="n">
        <v>0</v>
      </c>
      <c r="I204" s="1" t="inlineStr">
        <is>
          <t>2026-10-26</t>
        </is>
      </c>
      <c r="J204" s="1" t="inlineStr">
        <is>
          <t>凯琦FBA报价_当期.xlsx</t>
        </is>
      </c>
    </row>
    <row r="205">
      <c r="A205" s="1" t="inlineStr">
        <is>
          <t>美西普船</t>
        </is>
      </c>
      <c r="B205" s="1" t="inlineStr">
        <is>
          <t>美西普船</t>
        </is>
      </c>
      <c r="C205" s="1" t="inlineStr">
        <is>
          <t>Y-718专线</t>
        </is>
      </c>
      <c r="D205" s="1" t="inlineStr">
        <is>
          <t>义乌</t>
        </is>
      </c>
      <c r="E205" s="1" t="inlineStr">
        <is>
          <t>IND9</t>
        </is>
      </c>
      <c r="F205" s="134" t="n">
        <v>13.18</v>
      </c>
      <c r="G205" s="1" t="inlineStr">
        <is>
          <t>RMB/KG</t>
        </is>
      </c>
      <c r="H205" s="134" t="n">
        <v>0</v>
      </c>
      <c r="I205" s="1" t="inlineStr">
        <is>
          <t>2026-10-26</t>
        </is>
      </c>
      <c r="J205" s="1" t="inlineStr">
        <is>
          <t>凯琦FBA报价_当期.xlsx</t>
        </is>
      </c>
    </row>
    <row r="206">
      <c r="A206" s="1" t="inlineStr">
        <is>
          <t>美西普船</t>
        </is>
      </c>
      <c r="B206" s="1" t="inlineStr">
        <is>
          <t>美西普船</t>
        </is>
      </c>
      <c r="C206" s="1" t="inlineStr">
        <is>
          <t>Y-718专线</t>
        </is>
      </c>
      <c r="D206" s="1" t="inlineStr">
        <is>
          <t>义乌</t>
        </is>
      </c>
      <c r="E206" s="1" t="inlineStr">
        <is>
          <t>FWA4</t>
        </is>
      </c>
      <c r="F206" s="134" t="n">
        <v>13.08</v>
      </c>
      <c r="G206" s="1" t="inlineStr">
        <is>
          <t>RMB/KG</t>
        </is>
      </c>
      <c r="H206" s="134" t="n">
        <v>0</v>
      </c>
      <c r="I206" s="1" t="inlineStr">
        <is>
          <t>2026-10-26</t>
        </is>
      </c>
      <c r="J206" s="1" t="inlineStr">
        <is>
          <t>凯琦FBA报价_当期.xlsx</t>
        </is>
      </c>
    </row>
    <row r="207">
      <c r="A207" s="1" t="inlineStr">
        <is>
          <t>美西普船</t>
        </is>
      </c>
      <c r="B207" s="1" t="inlineStr">
        <is>
          <t>美西普船</t>
        </is>
      </c>
      <c r="C207" s="1" t="inlineStr">
        <is>
          <t>Y-718专线</t>
        </is>
      </c>
      <c r="D207" s="1" t="inlineStr">
        <is>
          <t>义乌</t>
        </is>
      </c>
      <c r="E207" s="1" t="inlineStr">
        <is>
          <t>MQJ1</t>
        </is>
      </c>
      <c r="F207" s="134" t="n">
        <v>13.18</v>
      </c>
      <c r="G207" s="1" t="inlineStr">
        <is>
          <t>RMB/KG</t>
        </is>
      </c>
      <c r="H207" s="134" t="n">
        <v>0</v>
      </c>
      <c r="I207" s="1" t="inlineStr">
        <is>
          <t>2026-10-26</t>
        </is>
      </c>
      <c r="J207" s="1" t="inlineStr">
        <is>
          <t>凯琦FBA报价_当期.xlsx</t>
        </is>
      </c>
    </row>
    <row r="208">
      <c r="A208" s="1" t="inlineStr">
        <is>
          <t>美西普船</t>
        </is>
      </c>
      <c r="B208" s="1" t="inlineStr">
        <is>
          <t>美西普船</t>
        </is>
      </c>
      <c r="C208" s="1" t="inlineStr">
        <is>
          <t>Y-718专线</t>
        </is>
      </c>
      <c r="D208" s="1" t="inlineStr">
        <is>
          <t>义乌</t>
        </is>
      </c>
      <c r="E208" s="1" t="inlineStr">
        <is>
          <t>MEM1</t>
        </is>
      </c>
      <c r="F208" s="134" t="n">
        <v>12.58</v>
      </c>
      <c r="G208" s="1" t="inlineStr">
        <is>
          <t>RMB/KG</t>
        </is>
      </c>
      <c r="H208" s="134" t="n">
        <v>0</v>
      </c>
      <c r="I208" s="1" t="inlineStr">
        <is>
          <t>2026-10-26</t>
        </is>
      </c>
      <c r="J208" s="1" t="inlineStr">
        <is>
          <t>凯琦FBA报价_当期.xlsx</t>
        </is>
      </c>
    </row>
    <row r="209">
      <c r="A209" s="1" t="inlineStr">
        <is>
          <t>美西普船</t>
        </is>
      </c>
      <c r="B209" s="1" t="inlineStr">
        <is>
          <t>美西普船</t>
        </is>
      </c>
      <c r="C209" s="1" t="inlineStr">
        <is>
          <t>Y-718专线</t>
        </is>
      </c>
      <c r="D209" s="1" t="inlineStr">
        <is>
          <t>义乌</t>
        </is>
      </c>
      <c r="E209" s="1" t="inlineStr">
        <is>
          <t>BJC1</t>
        </is>
      </c>
      <c r="F209" s="134" t="n">
        <v>12.38</v>
      </c>
      <c r="G209" s="1" t="inlineStr">
        <is>
          <t>RMB/KG</t>
        </is>
      </c>
      <c r="H209" s="134" t="n">
        <v>0</v>
      </c>
      <c r="I209" s="1" t="inlineStr">
        <is>
          <t>2026-10-26</t>
        </is>
      </c>
      <c r="J209" s="1" t="inlineStr">
        <is>
          <t>凯琦FBA报价_当期.xlsx</t>
        </is>
      </c>
    </row>
    <row r="210">
      <c r="A210" s="1" t="inlineStr">
        <is>
          <t>美西普船</t>
        </is>
      </c>
      <c r="B210" s="1" t="inlineStr">
        <is>
          <t>美西普船</t>
        </is>
      </c>
      <c r="C210" s="1" t="inlineStr">
        <is>
          <t>Y-718专线</t>
        </is>
      </c>
      <c r="D210" s="1" t="inlineStr">
        <is>
          <t>义乌</t>
        </is>
      </c>
      <c r="E210" s="1" t="inlineStr">
        <is>
          <t>DEN8</t>
        </is>
      </c>
      <c r="F210" s="134" t="n">
        <v>12.38</v>
      </c>
      <c r="G210" s="1" t="inlineStr">
        <is>
          <t>RMB/KG</t>
        </is>
      </c>
      <c r="H210" s="134" t="n">
        <v>0</v>
      </c>
      <c r="I210" s="1" t="inlineStr">
        <is>
          <t>2026-10-26</t>
        </is>
      </c>
      <c r="J210" s="1" t="inlineStr">
        <is>
          <t>凯琦FBA报价_当期.xlsx</t>
        </is>
      </c>
    </row>
    <row r="211">
      <c r="A211" s="1" t="inlineStr">
        <is>
          <t>美西普船</t>
        </is>
      </c>
      <c r="B211" s="1" t="inlineStr">
        <is>
          <t>美西普船</t>
        </is>
      </c>
      <c r="C211" s="1" t="inlineStr">
        <is>
          <t>Y-718专线</t>
        </is>
      </c>
      <c r="D211" s="1" t="inlineStr">
        <is>
          <t>义乌</t>
        </is>
      </c>
      <c r="E211" s="1" t="inlineStr">
        <is>
          <t>SLC2</t>
        </is>
      </c>
      <c r="F211" s="134" t="n">
        <v>11.08</v>
      </c>
      <c r="G211" s="1" t="inlineStr">
        <is>
          <t>RMB/KG</t>
        </is>
      </c>
      <c r="H211" s="134" t="n">
        <v>0</v>
      </c>
      <c r="I211" s="1" t="inlineStr">
        <is>
          <t>2026-10-26</t>
        </is>
      </c>
      <c r="J211" s="1" t="inlineStr">
        <is>
          <t>凯琦FBA报价_当期.xlsx</t>
        </is>
      </c>
    </row>
    <row r="212">
      <c r="A212" s="1" t="inlineStr">
        <is>
          <t>美西普船</t>
        </is>
      </c>
      <c r="B212" s="1" t="inlineStr">
        <is>
          <t>美西普船</t>
        </is>
      </c>
      <c r="C212" s="1" t="inlineStr">
        <is>
          <t>Y-718专线</t>
        </is>
      </c>
      <c r="D212" s="1" t="inlineStr">
        <is>
          <t>义乌</t>
        </is>
      </c>
      <c r="E212" s="1" t="inlineStr">
        <is>
          <t>RFD2</t>
        </is>
      </c>
      <c r="F212" s="134" t="n">
        <v>13.08</v>
      </c>
      <c r="G212" s="1" t="inlineStr">
        <is>
          <t>RMB/KG</t>
        </is>
      </c>
      <c r="H212" s="134" t="n">
        <v>0</v>
      </c>
      <c r="I212" s="1" t="inlineStr">
        <is>
          <t>2026-10-26</t>
        </is>
      </c>
      <c r="J212" s="1" t="inlineStr">
        <is>
          <t>凯琦FBA报价_当期.xlsx</t>
        </is>
      </c>
    </row>
    <row r="213">
      <c r="A213" s="1" t="inlineStr">
        <is>
          <t>美西普船</t>
        </is>
      </c>
      <c r="B213" s="1" t="inlineStr">
        <is>
          <t>美西普船</t>
        </is>
      </c>
      <c r="C213" s="1" t="inlineStr">
        <is>
          <t>Y-718专线</t>
        </is>
      </c>
      <c r="D213" s="1" t="inlineStr">
        <is>
          <t>义乌</t>
        </is>
      </c>
      <c r="E213" s="1" t="inlineStr">
        <is>
          <t>GEG2</t>
        </is>
      </c>
      <c r="F213" s="134" t="n">
        <v>13.78</v>
      </c>
      <c r="G213" s="1" t="inlineStr">
        <is>
          <t>RMB/KG</t>
        </is>
      </c>
      <c r="H213" s="134" t="n">
        <v>0</v>
      </c>
      <c r="I213" s="1" t="inlineStr">
        <is>
          <t>2026-10-26</t>
        </is>
      </c>
      <c r="J213" s="1" t="inlineStr">
        <is>
          <t>凯琦FBA报价_当期.xlsx</t>
        </is>
      </c>
    </row>
    <row r="214">
      <c r="A214" s="1" t="inlineStr">
        <is>
          <t>美西普船</t>
        </is>
      </c>
      <c r="B214" s="1" t="inlineStr">
        <is>
          <t>美西普船</t>
        </is>
      </c>
      <c r="C214" s="1" t="inlineStr">
        <is>
          <t>Y-718专线</t>
        </is>
      </c>
      <c r="D214" s="1" t="inlineStr">
        <is>
          <t>义乌</t>
        </is>
      </c>
      <c r="E214" s="1" t="inlineStr">
        <is>
          <t>PDX7</t>
        </is>
      </c>
      <c r="F214" s="134" t="n">
        <v>12.28</v>
      </c>
      <c r="G214" s="1" t="inlineStr">
        <is>
          <t>RMB/KG</t>
        </is>
      </c>
      <c r="H214" s="134" t="n">
        <v>0</v>
      </c>
      <c r="I214" s="1" t="inlineStr">
        <is>
          <t>2026-10-26</t>
        </is>
      </c>
      <c r="J214" s="1" t="inlineStr">
        <is>
          <t>凯琦FBA报价_当期.xlsx</t>
        </is>
      </c>
    </row>
    <row r="215">
      <c r="A215" s="1" t="inlineStr">
        <is>
          <t>美西普船</t>
        </is>
      </c>
      <c r="B215" s="1" t="inlineStr">
        <is>
          <t>美西普船</t>
        </is>
      </c>
      <c r="C215" s="1" t="inlineStr">
        <is>
          <t>Y-718专线</t>
        </is>
      </c>
      <c r="D215" s="1" t="inlineStr">
        <is>
          <t>义乌</t>
        </is>
      </c>
      <c r="E215" s="1" t="inlineStr">
        <is>
          <t>ITX3</t>
        </is>
      </c>
      <c r="F215" s="134" t="n">
        <v>12.28</v>
      </c>
      <c r="G215" s="1" t="inlineStr">
        <is>
          <t>RMB/KG</t>
        </is>
      </c>
      <c r="H215" s="134" t="n">
        <v>0</v>
      </c>
      <c r="I215" s="1" t="inlineStr">
        <is>
          <t>2026-10-26</t>
        </is>
      </c>
      <c r="J215" s="1" t="inlineStr">
        <is>
          <t>凯琦FBA报价_当期.xlsx</t>
        </is>
      </c>
    </row>
    <row r="216">
      <c r="A216" s="1" t="inlineStr">
        <is>
          <t>美西普船</t>
        </is>
      </c>
      <c r="B216" s="1" t="inlineStr">
        <is>
          <t>美西普船</t>
        </is>
      </c>
      <c r="C216" s="1" t="inlineStr">
        <is>
          <t>Y-718专线</t>
        </is>
      </c>
      <c r="D216" s="1" t="inlineStr">
        <is>
          <t>义乌</t>
        </is>
      </c>
      <c r="E216" s="1" t="inlineStr">
        <is>
          <t>ABE8</t>
        </is>
      </c>
      <c r="F216" s="134" t="n">
        <v>14.38</v>
      </c>
      <c r="G216" s="1" t="inlineStr">
        <is>
          <t>RMB/KG</t>
        </is>
      </c>
      <c r="H216" s="134" t="n">
        <v>0</v>
      </c>
      <c r="I216" s="1" t="inlineStr">
        <is>
          <t>2026-10-26</t>
        </is>
      </c>
      <c r="J216" s="1" t="inlineStr">
        <is>
          <t>凯琦FBA报价_当期.xlsx</t>
        </is>
      </c>
    </row>
    <row r="217">
      <c r="A217" s="1" t="inlineStr">
        <is>
          <t>美西普船</t>
        </is>
      </c>
      <c r="B217" s="1" t="inlineStr">
        <is>
          <t>美西普船</t>
        </is>
      </c>
      <c r="C217" s="1" t="inlineStr">
        <is>
          <t>Y-718专线</t>
        </is>
      </c>
      <c r="D217" s="1" t="inlineStr">
        <is>
          <t>义乌</t>
        </is>
      </c>
      <c r="E217" s="1" t="inlineStr">
        <is>
          <t>AVP1</t>
        </is>
      </c>
      <c r="F217" s="134" t="n">
        <v>14.38</v>
      </c>
      <c r="G217" s="1" t="inlineStr">
        <is>
          <t>RMB/KG</t>
        </is>
      </c>
      <c r="H217" s="134" t="n">
        <v>0</v>
      </c>
      <c r="I217" s="1" t="inlineStr">
        <is>
          <t>2026-10-26</t>
        </is>
      </c>
      <c r="J217" s="1" t="inlineStr">
        <is>
          <t>凯琦FBA报价_当期.xlsx</t>
        </is>
      </c>
    </row>
    <row r="218">
      <c r="A218" s="1" t="inlineStr">
        <is>
          <t>美西普船</t>
        </is>
      </c>
      <c r="B218" s="1" t="inlineStr">
        <is>
          <t>美西普船</t>
        </is>
      </c>
      <c r="C218" s="1" t="inlineStr">
        <is>
          <t>Y-718专线</t>
        </is>
      </c>
      <c r="D218" s="1" t="inlineStr">
        <is>
          <t>义乌</t>
        </is>
      </c>
      <c r="E218" s="1" t="inlineStr">
        <is>
          <t>CLT2</t>
        </is>
      </c>
      <c r="F218" s="134" t="n">
        <v>13.98</v>
      </c>
      <c r="G218" s="1" t="inlineStr">
        <is>
          <t>RMB/KG</t>
        </is>
      </c>
      <c r="H218" s="134" t="n">
        <v>0</v>
      </c>
      <c r="I218" s="1" t="inlineStr">
        <is>
          <t>2026-10-26</t>
        </is>
      </c>
      <c r="J218" s="1" t="inlineStr">
        <is>
          <t>凯琦FBA报价_当期.xlsx</t>
        </is>
      </c>
    </row>
    <row r="219">
      <c r="A219" s="1" t="inlineStr">
        <is>
          <t>美西普船</t>
        </is>
      </c>
      <c r="B219" s="1" t="inlineStr">
        <is>
          <t>美西普船</t>
        </is>
      </c>
      <c r="C219" s="1" t="inlineStr">
        <is>
          <t>Y-718专线</t>
        </is>
      </c>
      <c r="D219" s="1" t="inlineStr">
        <is>
          <t>义乌</t>
        </is>
      </c>
      <c r="E219" s="1" t="inlineStr">
        <is>
          <t>RMN3</t>
        </is>
      </c>
      <c r="F219" s="134" t="n">
        <v>14.38</v>
      </c>
      <c r="G219" s="1" t="inlineStr">
        <is>
          <t>RMB/KG</t>
        </is>
      </c>
      <c r="H219" s="134" t="n">
        <v>0</v>
      </c>
      <c r="I219" s="1" t="inlineStr">
        <is>
          <t>2026-10-26</t>
        </is>
      </c>
      <c r="J219" s="1" t="inlineStr">
        <is>
          <t>凯琦FBA报价_当期.xlsx</t>
        </is>
      </c>
    </row>
    <row r="220">
      <c r="A220" s="1" t="inlineStr">
        <is>
          <t>美西普船</t>
        </is>
      </c>
      <c r="B220" s="1" t="inlineStr">
        <is>
          <t>美西普船</t>
        </is>
      </c>
      <c r="C220" s="1" t="inlineStr">
        <is>
          <t>Y-718专线</t>
        </is>
      </c>
      <c r="D220" s="1" t="inlineStr">
        <is>
          <t>义乌</t>
        </is>
      </c>
      <c r="E220" s="1" t="inlineStr">
        <is>
          <t>ORF2</t>
        </is>
      </c>
      <c r="F220" s="134" t="n">
        <v>14.38</v>
      </c>
      <c r="G220" s="1" t="inlineStr">
        <is>
          <t>RMB/KG</t>
        </is>
      </c>
      <c r="H220" s="134" t="n">
        <v>0</v>
      </c>
      <c r="I220" s="1" t="inlineStr">
        <is>
          <t>2026-10-26</t>
        </is>
      </c>
      <c r="J220" s="1" t="inlineStr">
        <is>
          <t>凯琦FBA报价_当期.xlsx</t>
        </is>
      </c>
    </row>
    <row r="221">
      <c r="A221" s="1" t="inlineStr">
        <is>
          <t>美西普船</t>
        </is>
      </c>
      <c r="B221" s="1" t="inlineStr">
        <is>
          <t>美西普船</t>
        </is>
      </c>
      <c r="C221" s="1" t="inlineStr">
        <is>
          <t>Y-718专线</t>
        </is>
      </c>
      <c r="D221" s="1" t="inlineStr">
        <is>
          <t>义乌</t>
        </is>
      </c>
      <c r="E221" s="1" t="inlineStr">
        <is>
          <t>RDU2</t>
        </is>
      </c>
      <c r="F221" s="134" t="n">
        <v>14.38</v>
      </c>
      <c r="G221" s="1" t="inlineStr">
        <is>
          <t>RMB/KG</t>
        </is>
      </c>
      <c r="H221" s="134" t="n">
        <v>0</v>
      </c>
      <c r="I221" s="1" t="inlineStr">
        <is>
          <t>2026-10-26</t>
        </is>
      </c>
      <c r="J221" s="1" t="inlineStr">
        <is>
          <t>凯琦FBA报价_当期.xlsx</t>
        </is>
      </c>
    </row>
    <row r="222">
      <c r="A222" s="1" t="inlineStr">
        <is>
          <t>美西普船</t>
        </is>
      </c>
      <c r="B222" s="1" t="inlineStr">
        <is>
          <t>美西普船</t>
        </is>
      </c>
      <c r="C222" s="1" t="inlineStr">
        <is>
          <t>Y-718专线</t>
        </is>
      </c>
      <c r="D222" s="1" t="inlineStr">
        <is>
          <t>义乌</t>
        </is>
      </c>
      <c r="E222" s="1" t="inlineStr">
        <is>
          <t>TEB9</t>
        </is>
      </c>
      <c r="F222" s="134" t="n">
        <v>14.38</v>
      </c>
      <c r="G222" s="1" t="inlineStr">
        <is>
          <t>RMB/KG</t>
        </is>
      </c>
      <c r="H222" s="134" t="n">
        <v>0</v>
      </c>
      <c r="I222" s="1" t="inlineStr">
        <is>
          <t>2026-10-26</t>
        </is>
      </c>
      <c r="J222" s="1" t="inlineStr">
        <is>
          <t>凯琦FBA报价_当期.xlsx</t>
        </is>
      </c>
    </row>
    <row r="223">
      <c r="A223" s="1" t="inlineStr">
        <is>
          <t>美西普船</t>
        </is>
      </c>
      <c r="B223" s="1" t="inlineStr">
        <is>
          <t>美西普船</t>
        </is>
      </c>
      <c r="C223" s="1" t="inlineStr">
        <is>
          <t>Y-718专线</t>
        </is>
      </c>
      <c r="D223" s="1" t="inlineStr">
        <is>
          <t>义乌</t>
        </is>
      </c>
      <c r="E223" s="1" t="inlineStr">
        <is>
          <t>SWF2</t>
        </is>
      </c>
      <c r="F223" s="134" t="n">
        <v>14.38</v>
      </c>
      <c r="G223" s="1" t="inlineStr">
        <is>
          <t>RMB/KG</t>
        </is>
      </c>
      <c r="H223" s="134" t="n">
        <v>0</v>
      </c>
      <c r="I223" s="1" t="inlineStr">
        <is>
          <t>2026-10-26</t>
        </is>
      </c>
      <c r="J223" s="1" t="inlineStr">
        <is>
          <t>凯琦FBA报价_当期.xlsx</t>
        </is>
      </c>
    </row>
    <row r="224">
      <c r="A224" s="1" t="inlineStr">
        <is>
          <t>美西普船</t>
        </is>
      </c>
      <c r="B224" s="1" t="inlineStr">
        <is>
          <t>美西普船</t>
        </is>
      </c>
      <c r="C224" s="1" t="inlineStr">
        <is>
          <t>Q-718专线</t>
        </is>
      </c>
      <c r="D224" s="1" t="inlineStr">
        <is>
          <t>青岛</t>
        </is>
      </c>
      <c r="E224" s="1" t="inlineStr">
        <is>
          <t>凯琦美西仓</t>
        </is>
      </c>
      <c r="F224" s="134" t="n">
        <v>8.48</v>
      </c>
      <c r="G224" s="1" t="inlineStr">
        <is>
          <t>RMB/KG</t>
        </is>
      </c>
      <c r="H224" s="134" t="n">
        <v>0</v>
      </c>
      <c r="I224" s="1" t="inlineStr">
        <is>
          <t>2026-10-26</t>
        </is>
      </c>
      <c r="J224" s="1" t="inlineStr">
        <is>
          <t>凯琦FBA报价_当期.xlsx</t>
        </is>
      </c>
    </row>
    <row r="225">
      <c r="A225" s="1" t="inlineStr">
        <is>
          <t>美西普船</t>
        </is>
      </c>
      <c r="B225" s="1" t="inlineStr">
        <is>
          <t>美西普船</t>
        </is>
      </c>
      <c r="C225" s="1" t="inlineStr">
        <is>
          <t>Q-718专线</t>
        </is>
      </c>
      <c r="D225" s="1" t="inlineStr">
        <is>
          <t>青岛</t>
        </is>
      </c>
      <c r="E225" s="1" t="inlineStr">
        <is>
          <t>ONT8</t>
        </is>
      </c>
      <c r="F225" s="134" t="n">
        <v>8.68</v>
      </c>
      <c r="G225" s="1" t="inlineStr">
        <is>
          <t>RMB/KG</t>
        </is>
      </c>
      <c r="H225" s="134" t="n">
        <v>0</v>
      </c>
      <c r="I225" s="1" t="inlineStr">
        <is>
          <t>2026-10-26</t>
        </is>
      </c>
      <c r="J225" s="1" t="inlineStr">
        <is>
          <t>凯琦FBA报价_当期.xlsx</t>
        </is>
      </c>
    </row>
    <row r="226">
      <c r="A226" s="1" t="inlineStr">
        <is>
          <t>美西普船</t>
        </is>
      </c>
      <c r="B226" s="1" t="inlineStr">
        <is>
          <t>美西普船</t>
        </is>
      </c>
      <c r="C226" s="1" t="inlineStr">
        <is>
          <t>Q-718专线</t>
        </is>
      </c>
      <c r="D226" s="1" t="inlineStr">
        <is>
          <t>青岛</t>
        </is>
      </c>
      <c r="E226" s="1" t="inlineStr">
        <is>
          <t>LGB8</t>
        </is>
      </c>
      <c r="F226" s="134" t="n">
        <v>8.68</v>
      </c>
      <c r="G226" s="1" t="inlineStr">
        <is>
          <t>RMB/KG</t>
        </is>
      </c>
      <c r="H226" s="134" t="n">
        <v>0</v>
      </c>
      <c r="I226" s="1" t="inlineStr">
        <is>
          <t>2026-10-26</t>
        </is>
      </c>
      <c r="J226" s="1" t="inlineStr">
        <is>
          <t>凯琦FBA报价_当期.xlsx</t>
        </is>
      </c>
    </row>
    <row r="227">
      <c r="A227" s="1" t="inlineStr">
        <is>
          <t>美西普船</t>
        </is>
      </c>
      <c r="B227" s="1" t="inlineStr">
        <is>
          <t>美西普船</t>
        </is>
      </c>
      <c r="C227" s="1" t="inlineStr">
        <is>
          <t>Q-718专线</t>
        </is>
      </c>
      <c r="D227" s="1" t="inlineStr">
        <is>
          <t>青岛</t>
        </is>
      </c>
      <c r="E227" s="1" t="inlineStr">
        <is>
          <t>LAX9</t>
        </is>
      </c>
      <c r="F227" s="134" t="n">
        <v>8.68</v>
      </c>
      <c r="G227" s="1" t="inlineStr">
        <is>
          <t>RMB/KG</t>
        </is>
      </c>
      <c r="H227" s="134" t="n">
        <v>0</v>
      </c>
      <c r="I227" s="1" t="inlineStr">
        <is>
          <t>2026-10-26</t>
        </is>
      </c>
      <c r="J227" s="1" t="inlineStr">
        <is>
          <t>凯琦FBA报价_当期.xlsx</t>
        </is>
      </c>
    </row>
    <row r="228">
      <c r="A228" s="1" t="inlineStr">
        <is>
          <t>美西普船</t>
        </is>
      </c>
      <c r="B228" s="1" t="inlineStr">
        <is>
          <t>美西普船</t>
        </is>
      </c>
      <c r="C228" s="1" t="inlineStr">
        <is>
          <t>Q-718专线</t>
        </is>
      </c>
      <c r="D228" s="1" t="inlineStr">
        <is>
          <t>青岛</t>
        </is>
      </c>
      <c r="E228" s="1" t="inlineStr">
        <is>
          <t>SBD1</t>
        </is>
      </c>
      <c r="F228" s="134" t="n">
        <v>8.68</v>
      </c>
      <c r="G228" s="1" t="inlineStr">
        <is>
          <t>RMB/KG</t>
        </is>
      </c>
      <c r="H228" s="134" t="n">
        <v>0</v>
      </c>
      <c r="I228" s="1" t="inlineStr">
        <is>
          <t>2026-10-26</t>
        </is>
      </c>
      <c r="J228" s="1" t="inlineStr">
        <is>
          <t>凯琦FBA报价_当期.xlsx</t>
        </is>
      </c>
    </row>
    <row r="229">
      <c r="A229" s="1" t="inlineStr">
        <is>
          <t>美西普船</t>
        </is>
      </c>
      <c r="B229" s="1" t="inlineStr">
        <is>
          <t>美西普船</t>
        </is>
      </c>
      <c r="C229" s="1" t="inlineStr">
        <is>
          <t>Q-718专线</t>
        </is>
      </c>
      <c r="D229" s="1" t="inlineStr">
        <is>
          <t>青岛</t>
        </is>
      </c>
      <c r="E229" s="1" t="inlineStr">
        <is>
          <t>POC1</t>
        </is>
      </c>
      <c r="F229" s="134" t="n">
        <v>8.98</v>
      </c>
      <c r="G229" s="1" t="inlineStr">
        <is>
          <t>RMB/KG</t>
        </is>
      </c>
      <c r="H229" s="134" t="n">
        <v>0</v>
      </c>
      <c r="I229" s="1" t="inlineStr">
        <is>
          <t>2026-10-26</t>
        </is>
      </c>
      <c r="J229" s="1" t="inlineStr">
        <is>
          <t>凯琦FBA报价_当期.xlsx</t>
        </is>
      </c>
    </row>
    <row r="230">
      <c r="A230" s="1" t="inlineStr">
        <is>
          <t>美西普船</t>
        </is>
      </c>
      <c r="B230" s="1" t="inlineStr">
        <is>
          <t>美西普船</t>
        </is>
      </c>
      <c r="C230" s="1" t="inlineStr">
        <is>
          <t>Q-718专线</t>
        </is>
      </c>
      <c r="D230" s="1" t="inlineStr">
        <is>
          <t>青岛</t>
        </is>
      </c>
      <c r="E230" s="1" t="inlineStr">
        <is>
          <t>POC2</t>
        </is>
      </c>
      <c r="F230" s="134" t="n">
        <v>8.779999999999999</v>
      </c>
      <c r="G230" s="1" t="inlineStr">
        <is>
          <t>RMB/KG</t>
        </is>
      </c>
      <c r="H230" s="134" t="n">
        <v>0</v>
      </c>
      <c r="I230" s="1" t="inlineStr">
        <is>
          <t>2026-10-26</t>
        </is>
      </c>
      <c r="J230" s="1" t="inlineStr">
        <is>
          <t>凯琦FBA报价_当期.xlsx</t>
        </is>
      </c>
    </row>
    <row r="231">
      <c r="A231" s="1" t="inlineStr">
        <is>
          <t>美西普船</t>
        </is>
      </c>
      <c r="B231" s="1" t="inlineStr">
        <is>
          <t>美西普船</t>
        </is>
      </c>
      <c r="C231" s="1" t="inlineStr">
        <is>
          <t>Q-718专线</t>
        </is>
      </c>
      <c r="D231" s="1" t="inlineStr">
        <is>
          <t>青岛</t>
        </is>
      </c>
      <c r="E231" s="1" t="inlineStr">
        <is>
          <t>POC3</t>
        </is>
      </c>
      <c r="F231" s="134" t="n">
        <v>8.779999999999999</v>
      </c>
      <c r="G231" s="1" t="inlineStr">
        <is>
          <t>RMB/KG</t>
        </is>
      </c>
      <c r="H231" s="134" t="n">
        <v>0</v>
      </c>
      <c r="I231" s="1" t="inlineStr">
        <is>
          <t>2026-10-26</t>
        </is>
      </c>
      <c r="J231" s="1" t="inlineStr">
        <is>
          <t>凯琦FBA报价_当期.xlsx</t>
        </is>
      </c>
    </row>
    <row r="232">
      <c r="A232" s="1" t="inlineStr">
        <is>
          <t>美西普船</t>
        </is>
      </c>
      <c r="B232" s="1" t="inlineStr">
        <is>
          <t>美西普船</t>
        </is>
      </c>
      <c r="C232" s="1" t="inlineStr">
        <is>
          <t>Q-718专线</t>
        </is>
      </c>
      <c r="D232" s="1" t="inlineStr">
        <is>
          <t>青岛</t>
        </is>
      </c>
      <c r="E232" s="1" t="inlineStr">
        <is>
          <t>SNA4</t>
        </is>
      </c>
      <c r="F232" s="134" t="n">
        <v>9.18</v>
      </c>
      <c r="G232" s="1" t="inlineStr">
        <is>
          <t>RMB/KG</t>
        </is>
      </c>
      <c r="H232" s="134" t="n">
        <v>0</v>
      </c>
      <c r="I232" s="1" t="inlineStr">
        <is>
          <t>2026-10-26</t>
        </is>
      </c>
      <c r="J232" s="1" t="inlineStr">
        <is>
          <t>凯琦FBA报价_当期.xlsx</t>
        </is>
      </c>
    </row>
    <row r="233">
      <c r="A233" s="1" t="inlineStr">
        <is>
          <t>美西普船</t>
        </is>
      </c>
      <c r="B233" s="1" t="inlineStr">
        <is>
          <t>美西普船</t>
        </is>
      </c>
      <c r="C233" s="1" t="inlineStr">
        <is>
          <t>Q-718专线</t>
        </is>
      </c>
      <c r="D233" s="1" t="inlineStr">
        <is>
          <t>青岛</t>
        </is>
      </c>
      <c r="E233" s="1" t="inlineStr">
        <is>
          <t>XLX7</t>
        </is>
      </c>
      <c r="F233" s="134" t="n">
        <v>9.18</v>
      </c>
      <c r="G233" s="1" t="inlineStr">
        <is>
          <t>RMB/KG</t>
        </is>
      </c>
      <c r="H233" s="134" t="n">
        <v>0</v>
      </c>
      <c r="I233" s="1" t="inlineStr">
        <is>
          <t>2026-10-26</t>
        </is>
      </c>
      <c r="J233" s="1" t="inlineStr">
        <is>
          <t>凯琦FBA报价_当期.xlsx</t>
        </is>
      </c>
    </row>
    <row r="234">
      <c r="A234" s="1" t="inlineStr">
        <is>
          <t>美西普船</t>
        </is>
      </c>
      <c r="B234" s="1" t="inlineStr">
        <is>
          <t>美西普船</t>
        </is>
      </c>
      <c r="C234" s="1" t="inlineStr">
        <is>
          <t>Q-718专线</t>
        </is>
      </c>
      <c r="D234" s="1" t="inlineStr">
        <is>
          <t>青岛</t>
        </is>
      </c>
      <c r="E234" s="1" t="inlineStr">
        <is>
          <t>SBD2</t>
        </is>
      </c>
      <c r="F234" s="134" t="n">
        <v>9.18</v>
      </c>
      <c r="G234" s="1" t="inlineStr">
        <is>
          <t>RMB/KG</t>
        </is>
      </c>
      <c r="H234" s="134" t="n">
        <v>0</v>
      </c>
      <c r="I234" s="1" t="inlineStr">
        <is>
          <t>2026-10-26</t>
        </is>
      </c>
      <c r="J234" s="1" t="inlineStr">
        <is>
          <t>凯琦FBA报价_当期.xlsx</t>
        </is>
      </c>
    </row>
    <row r="235">
      <c r="A235" s="1" t="inlineStr">
        <is>
          <t>美西普船</t>
        </is>
      </c>
      <c r="B235" s="1" t="inlineStr">
        <is>
          <t>美西普船</t>
        </is>
      </c>
      <c r="C235" s="1" t="inlineStr">
        <is>
          <t>Q-718专线</t>
        </is>
      </c>
      <c r="D235" s="1" t="inlineStr">
        <is>
          <t>青岛</t>
        </is>
      </c>
      <c r="E235" s="1" t="inlineStr">
        <is>
          <t>LGB4</t>
        </is>
      </c>
      <c r="F235" s="134" t="n">
        <v>9.18</v>
      </c>
      <c r="G235" s="1" t="inlineStr">
        <is>
          <t>RMB/KG</t>
        </is>
      </c>
      <c r="H235" s="134" t="n">
        <v>0</v>
      </c>
      <c r="I235" s="1" t="inlineStr">
        <is>
          <t>2026-10-26</t>
        </is>
      </c>
      <c r="J235" s="1" t="inlineStr">
        <is>
          <t>凯琦FBA报价_当期.xlsx</t>
        </is>
      </c>
    </row>
    <row r="236">
      <c r="A236" s="1" t="inlineStr">
        <is>
          <t>美西普船</t>
        </is>
      </c>
      <c r="B236" s="1" t="inlineStr">
        <is>
          <t>美西普船</t>
        </is>
      </c>
      <c r="C236" s="1" t="inlineStr">
        <is>
          <t>Q-718专线</t>
        </is>
      </c>
      <c r="D236" s="1" t="inlineStr">
        <is>
          <t>青岛</t>
        </is>
      </c>
      <c r="E236" s="1" t="inlineStr">
        <is>
          <t>LGB6</t>
        </is>
      </c>
      <c r="F236" s="134" t="n">
        <v>9.18</v>
      </c>
      <c r="G236" s="1" t="inlineStr">
        <is>
          <t>RMB/KG</t>
        </is>
      </c>
      <c r="H236" s="134" t="n">
        <v>0</v>
      </c>
      <c r="I236" s="1" t="inlineStr">
        <is>
          <t>2026-10-26</t>
        </is>
      </c>
      <c r="J236" s="1" t="inlineStr">
        <is>
          <t>凯琦FBA报价_当期.xlsx</t>
        </is>
      </c>
    </row>
    <row r="237">
      <c r="A237" s="1" t="inlineStr">
        <is>
          <t>美西普船</t>
        </is>
      </c>
      <c r="B237" s="1" t="inlineStr">
        <is>
          <t>美西普船</t>
        </is>
      </c>
      <c r="C237" s="1" t="inlineStr">
        <is>
          <t>Q-718专线</t>
        </is>
      </c>
      <c r="D237" s="1" t="inlineStr">
        <is>
          <t>青岛</t>
        </is>
      </c>
      <c r="E237" s="1" t="inlineStr">
        <is>
          <t>IUTL</t>
        </is>
      </c>
      <c r="F237" s="134" t="n">
        <v>9.08</v>
      </c>
      <c r="G237" s="1" t="inlineStr">
        <is>
          <t>RMB/KG</t>
        </is>
      </c>
      <c r="H237" s="134" t="n">
        <v>0</v>
      </c>
      <c r="I237" s="1" t="inlineStr">
        <is>
          <t>2026-10-26</t>
        </is>
      </c>
      <c r="J237" s="1" t="inlineStr">
        <is>
          <t>凯琦FBA报价_当期.xlsx</t>
        </is>
      </c>
    </row>
    <row r="238">
      <c r="A238" s="1" t="inlineStr">
        <is>
          <t>美西普船</t>
        </is>
      </c>
      <c r="B238" s="1" t="inlineStr">
        <is>
          <t>美西普船</t>
        </is>
      </c>
      <c r="C238" s="1" t="inlineStr">
        <is>
          <t>Q-718专线</t>
        </is>
      </c>
      <c r="D238" s="1" t="inlineStr">
        <is>
          <t>青岛</t>
        </is>
      </c>
      <c r="E238" s="1" t="inlineStr">
        <is>
          <t>IUTJ</t>
        </is>
      </c>
      <c r="F238" s="134" t="n">
        <v>9.08</v>
      </c>
      <c r="G238" s="1" t="inlineStr">
        <is>
          <t>RMB/KG</t>
        </is>
      </c>
      <c r="H238" s="134" t="n">
        <v>0</v>
      </c>
      <c r="I238" s="1" t="inlineStr">
        <is>
          <t>2026-10-26</t>
        </is>
      </c>
      <c r="J238" s="1" t="inlineStr">
        <is>
          <t>凯琦FBA报价_当期.xlsx</t>
        </is>
      </c>
    </row>
    <row r="239">
      <c r="A239" s="1" t="inlineStr">
        <is>
          <t>美西普船</t>
        </is>
      </c>
      <c r="B239" s="1" t="inlineStr">
        <is>
          <t>美西普船</t>
        </is>
      </c>
      <c r="C239" s="1" t="inlineStr">
        <is>
          <t>Q-718专线</t>
        </is>
      </c>
      <c r="D239" s="1" t="inlineStr">
        <is>
          <t>青岛</t>
        </is>
      </c>
      <c r="E239" s="1" t="inlineStr">
        <is>
          <t>IUSP</t>
        </is>
      </c>
      <c r="F239" s="134" t="n">
        <v>9.08</v>
      </c>
      <c r="G239" s="1" t="inlineStr">
        <is>
          <t>RMB/KG</t>
        </is>
      </c>
      <c r="H239" s="134" t="n">
        <v>0</v>
      </c>
      <c r="I239" s="1" t="inlineStr">
        <is>
          <t>2026-10-26</t>
        </is>
      </c>
      <c r="J239" s="1" t="inlineStr">
        <is>
          <t>凯琦FBA报价_当期.xlsx</t>
        </is>
      </c>
    </row>
    <row r="240">
      <c r="A240" s="1" t="inlineStr">
        <is>
          <t>美西普船</t>
        </is>
      </c>
      <c r="B240" s="1" t="inlineStr">
        <is>
          <t>美西普船</t>
        </is>
      </c>
      <c r="C240" s="1" t="inlineStr">
        <is>
          <t>Q-718专线</t>
        </is>
      </c>
      <c r="D240" s="1" t="inlineStr">
        <is>
          <t>青岛</t>
        </is>
      </c>
      <c r="E240" s="1" t="inlineStr">
        <is>
          <t>IUSJ</t>
        </is>
      </c>
      <c r="F240" s="134" t="n">
        <v>9.08</v>
      </c>
      <c r="G240" s="1" t="inlineStr">
        <is>
          <t>RMB/KG</t>
        </is>
      </c>
      <c r="H240" s="134" t="n">
        <v>0</v>
      </c>
      <c r="I240" s="1" t="inlineStr">
        <is>
          <t>2026-10-26</t>
        </is>
      </c>
      <c r="J240" s="1" t="inlineStr">
        <is>
          <t>凯琦FBA报价_当期.xlsx</t>
        </is>
      </c>
    </row>
    <row r="241">
      <c r="A241" s="1" t="inlineStr">
        <is>
          <t>美西普船</t>
        </is>
      </c>
      <c r="B241" s="1" t="inlineStr">
        <is>
          <t>美西普船</t>
        </is>
      </c>
      <c r="C241" s="1" t="inlineStr">
        <is>
          <t>Q-718专线</t>
        </is>
      </c>
      <c r="D241" s="1" t="inlineStr">
        <is>
          <t>青岛</t>
        </is>
      </c>
      <c r="E241" s="1" t="inlineStr">
        <is>
          <t>PSP3</t>
        </is>
      </c>
      <c r="F241" s="134" t="n">
        <v>9.08</v>
      </c>
      <c r="G241" s="1" t="inlineStr">
        <is>
          <t>RMB/KG</t>
        </is>
      </c>
      <c r="H241" s="134" t="n">
        <v>0</v>
      </c>
      <c r="I241" s="1" t="inlineStr">
        <is>
          <t>2026-10-26</t>
        </is>
      </c>
      <c r="J241" s="1" t="inlineStr">
        <is>
          <t>凯琦FBA报价_当期.xlsx</t>
        </is>
      </c>
    </row>
    <row r="242">
      <c r="A242" s="1" t="inlineStr">
        <is>
          <t>美西普船</t>
        </is>
      </c>
      <c r="B242" s="1" t="inlineStr">
        <is>
          <t>美西普船</t>
        </is>
      </c>
      <c r="C242" s="1" t="inlineStr">
        <is>
          <t>Q-718专线</t>
        </is>
      </c>
      <c r="D242" s="1" t="inlineStr">
        <is>
          <t>青岛</t>
        </is>
      </c>
      <c r="E242" s="1" t="inlineStr">
        <is>
          <t>LAS6</t>
        </is>
      </c>
      <c r="F242" s="134" t="n">
        <v>9.779999999999999</v>
      </c>
      <c r="G242" s="1" t="inlineStr">
        <is>
          <t>RMB/KG</t>
        </is>
      </c>
      <c r="H242" s="134" t="n">
        <v>0</v>
      </c>
      <c r="I242" s="1" t="inlineStr">
        <is>
          <t>2026-10-26</t>
        </is>
      </c>
      <c r="J242" s="1" t="inlineStr">
        <is>
          <t>凯琦FBA报价_当期.xlsx</t>
        </is>
      </c>
    </row>
    <row r="243">
      <c r="A243" s="1" t="inlineStr">
        <is>
          <t>美西普船</t>
        </is>
      </c>
      <c r="B243" s="1" t="inlineStr">
        <is>
          <t>美西普船</t>
        </is>
      </c>
      <c r="C243" s="1" t="inlineStr">
        <is>
          <t>Q-718专线</t>
        </is>
      </c>
      <c r="D243" s="1" t="inlineStr">
        <is>
          <t>青岛</t>
        </is>
      </c>
      <c r="E243" s="1" t="inlineStr">
        <is>
          <t>FAT2</t>
        </is>
      </c>
      <c r="F243" s="134" t="n">
        <v>9.58</v>
      </c>
      <c r="G243" s="1" t="inlineStr">
        <is>
          <t>RMB/KG</t>
        </is>
      </c>
      <c r="H243" s="134" t="n">
        <v>0</v>
      </c>
      <c r="I243" s="1" t="inlineStr">
        <is>
          <t>2026-10-26</t>
        </is>
      </c>
      <c r="J243" s="1" t="inlineStr">
        <is>
          <t>凯琦FBA报价_当期.xlsx</t>
        </is>
      </c>
    </row>
    <row r="244">
      <c r="A244" s="1" t="inlineStr">
        <is>
          <t>美西普船</t>
        </is>
      </c>
      <c r="B244" s="1" t="inlineStr">
        <is>
          <t>美西普船</t>
        </is>
      </c>
      <c r="C244" s="1" t="inlineStr">
        <is>
          <t>Q-718专线</t>
        </is>
      </c>
      <c r="D244" s="1" t="inlineStr">
        <is>
          <t>青岛</t>
        </is>
      </c>
      <c r="E244" s="1" t="inlineStr">
        <is>
          <t>OAK3</t>
        </is>
      </c>
      <c r="F244" s="134" t="n">
        <v>9.880000000000001</v>
      </c>
      <c r="G244" s="1" t="inlineStr">
        <is>
          <t>RMB/KG</t>
        </is>
      </c>
      <c r="H244" s="134" t="n">
        <v>0</v>
      </c>
      <c r="I244" s="1" t="inlineStr">
        <is>
          <t>2026-10-26</t>
        </is>
      </c>
      <c r="J244" s="1" t="inlineStr">
        <is>
          <t>凯琦FBA报价_当期.xlsx</t>
        </is>
      </c>
    </row>
    <row r="245">
      <c r="A245" s="1" t="inlineStr">
        <is>
          <t>美西普船</t>
        </is>
      </c>
      <c r="B245" s="1" t="inlineStr">
        <is>
          <t>美西普船</t>
        </is>
      </c>
      <c r="C245" s="1" t="inlineStr">
        <is>
          <t>Q-718专线</t>
        </is>
      </c>
      <c r="D245" s="1" t="inlineStr">
        <is>
          <t>青岛</t>
        </is>
      </c>
      <c r="E245" s="1" t="inlineStr">
        <is>
          <t>MCE1</t>
        </is>
      </c>
      <c r="F245" s="134" t="n">
        <v>9.880000000000001</v>
      </c>
      <c r="G245" s="1" t="inlineStr">
        <is>
          <t>RMB/KG</t>
        </is>
      </c>
      <c r="H245" s="134" t="n">
        <v>0</v>
      </c>
      <c r="I245" s="1" t="inlineStr">
        <is>
          <t>2026-10-26</t>
        </is>
      </c>
      <c r="J245" s="1" t="inlineStr">
        <is>
          <t>凯琦FBA报价_当期.xlsx</t>
        </is>
      </c>
    </row>
    <row r="246">
      <c r="A246" s="1" t="inlineStr">
        <is>
          <t>美西普船</t>
        </is>
      </c>
      <c r="B246" s="1" t="inlineStr">
        <is>
          <t>美西普船</t>
        </is>
      </c>
      <c r="C246" s="1" t="inlineStr">
        <is>
          <t>Q-718专线</t>
        </is>
      </c>
      <c r="D246" s="1" t="inlineStr">
        <is>
          <t>青岛</t>
        </is>
      </c>
      <c r="E246" s="1" t="inlineStr">
        <is>
          <t>PHX5</t>
        </is>
      </c>
      <c r="F246" s="134" t="n">
        <v>9.880000000000001</v>
      </c>
      <c r="G246" s="1" t="inlineStr">
        <is>
          <t>RMB/KG</t>
        </is>
      </c>
      <c r="H246" s="134" t="n">
        <v>0</v>
      </c>
      <c r="I246" s="1" t="inlineStr">
        <is>
          <t>2026-10-26</t>
        </is>
      </c>
      <c r="J246" s="1" t="inlineStr">
        <is>
          <t>凯琦FBA报价_当期.xlsx</t>
        </is>
      </c>
    </row>
    <row r="247">
      <c r="A247" s="1" t="inlineStr">
        <is>
          <t>美西普船</t>
        </is>
      </c>
      <c r="B247" s="1" t="inlineStr">
        <is>
          <t>美西普船</t>
        </is>
      </c>
      <c r="C247" s="1" t="inlineStr">
        <is>
          <t>Q-718专线</t>
        </is>
      </c>
      <c r="D247" s="1" t="inlineStr">
        <is>
          <t>青岛</t>
        </is>
      </c>
      <c r="E247" s="1" t="inlineStr">
        <is>
          <t>PHX7</t>
        </is>
      </c>
      <c r="F247" s="134" t="n">
        <v>9.880000000000001</v>
      </c>
      <c r="G247" s="1" t="inlineStr">
        <is>
          <t>RMB/KG</t>
        </is>
      </c>
      <c r="H247" s="134" t="n">
        <v>0</v>
      </c>
      <c r="I247" s="1" t="inlineStr">
        <is>
          <t>2026-10-26</t>
        </is>
      </c>
      <c r="J247" s="1" t="inlineStr">
        <is>
          <t>凯琦FBA报价_当期.xlsx</t>
        </is>
      </c>
    </row>
    <row r="248">
      <c r="A248" s="1" t="inlineStr">
        <is>
          <t>美西普船</t>
        </is>
      </c>
      <c r="B248" s="1" t="inlineStr">
        <is>
          <t>美西普船</t>
        </is>
      </c>
      <c r="C248" s="1" t="inlineStr">
        <is>
          <t>Q-718专线</t>
        </is>
      </c>
      <c r="D248" s="1" t="inlineStr">
        <is>
          <t>青岛</t>
        </is>
      </c>
      <c r="E248" s="1" t="inlineStr">
        <is>
          <t>LAS1</t>
        </is>
      </c>
      <c r="F248" s="134" t="n">
        <v>9.58</v>
      </c>
      <c r="G248" s="1" t="inlineStr">
        <is>
          <t>RMB/KG</t>
        </is>
      </c>
      <c r="H248" s="134" t="n">
        <v>0</v>
      </c>
      <c r="I248" s="1" t="inlineStr">
        <is>
          <t>2026-10-26</t>
        </is>
      </c>
      <c r="J248" s="1" t="inlineStr">
        <is>
          <t>凯琦FBA报价_当期.xlsx</t>
        </is>
      </c>
    </row>
    <row r="249">
      <c r="A249" s="1" t="inlineStr">
        <is>
          <t>美西普船</t>
        </is>
      </c>
      <c r="B249" s="1" t="inlineStr">
        <is>
          <t>美西普船</t>
        </is>
      </c>
      <c r="C249" s="1" t="inlineStr">
        <is>
          <t>Q-718专线</t>
        </is>
      </c>
      <c r="D249" s="1" t="inlineStr">
        <is>
          <t>青岛</t>
        </is>
      </c>
      <c r="E249" s="1" t="inlineStr">
        <is>
          <t>GYR2</t>
        </is>
      </c>
      <c r="F249" s="134" t="n">
        <v>9.58</v>
      </c>
      <c r="G249" s="1" t="inlineStr">
        <is>
          <t>RMB/KG</t>
        </is>
      </c>
      <c r="H249" s="134" t="n">
        <v>0</v>
      </c>
      <c r="I249" s="1" t="inlineStr">
        <is>
          <t>2026-10-26</t>
        </is>
      </c>
      <c r="J249" s="1" t="inlineStr">
        <is>
          <t>凯琦FBA报价_当期.xlsx</t>
        </is>
      </c>
    </row>
    <row r="250">
      <c r="A250" s="1" t="inlineStr">
        <is>
          <t>美西普船</t>
        </is>
      </c>
      <c r="B250" s="1" t="inlineStr">
        <is>
          <t>美西普船</t>
        </is>
      </c>
      <c r="C250" s="1" t="inlineStr">
        <is>
          <t>Q-718专线</t>
        </is>
      </c>
      <c r="D250" s="1" t="inlineStr">
        <is>
          <t>青岛</t>
        </is>
      </c>
      <c r="E250" s="1" t="inlineStr">
        <is>
          <t>GYR3</t>
        </is>
      </c>
      <c r="F250" s="134" t="n">
        <v>9.58</v>
      </c>
      <c r="G250" s="1" t="inlineStr">
        <is>
          <t>RMB/KG</t>
        </is>
      </c>
      <c r="H250" s="134" t="n">
        <v>0</v>
      </c>
      <c r="I250" s="1" t="inlineStr">
        <is>
          <t>2026-10-26</t>
        </is>
      </c>
      <c r="J250" s="1" t="inlineStr">
        <is>
          <t>凯琦FBA报价_当期.xlsx</t>
        </is>
      </c>
    </row>
    <row r="251">
      <c r="A251" s="1" t="inlineStr">
        <is>
          <t>美西普船</t>
        </is>
      </c>
      <c r="B251" s="1" t="inlineStr">
        <is>
          <t>美西普船</t>
        </is>
      </c>
      <c r="C251" s="1" t="inlineStr">
        <is>
          <t>Q-718专线</t>
        </is>
      </c>
      <c r="D251" s="1" t="inlineStr">
        <is>
          <t>青岛</t>
        </is>
      </c>
      <c r="E251" s="1" t="inlineStr">
        <is>
          <t>VGT2</t>
        </is>
      </c>
      <c r="F251" s="134" t="n">
        <v>9.58</v>
      </c>
      <c r="G251" s="1" t="inlineStr">
        <is>
          <t>RMB/KG</t>
        </is>
      </c>
      <c r="H251" s="134" t="n">
        <v>0</v>
      </c>
      <c r="I251" s="1" t="inlineStr">
        <is>
          <t>2026-10-26</t>
        </is>
      </c>
      <c r="J251" s="1" t="inlineStr">
        <is>
          <t>凯琦FBA报价_当期.xlsx</t>
        </is>
      </c>
    </row>
    <row r="252">
      <c r="A252" s="1" t="inlineStr">
        <is>
          <t>美西普船</t>
        </is>
      </c>
      <c r="B252" s="1" t="inlineStr">
        <is>
          <t>美西普船</t>
        </is>
      </c>
      <c r="C252" s="1" t="inlineStr">
        <is>
          <t>Q-718专线</t>
        </is>
      </c>
      <c r="D252" s="1" t="inlineStr">
        <is>
          <t>青岛</t>
        </is>
      </c>
      <c r="E252" s="1" t="inlineStr">
        <is>
          <t>GEU3</t>
        </is>
      </c>
      <c r="F252" s="134" t="n">
        <v>9.58</v>
      </c>
      <c r="G252" s="1" t="inlineStr">
        <is>
          <t>RMB/KG</t>
        </is>
      </c>
      <c r="H252" s="134" t="n">
        <v>0</v>
      </c>
      <c r="I252" s="1" t="inlineStr">
        <is>
          <t>2026-10-26</t>
        </is>
      </c>
      <c r="J252" s="1" t="inlineStr">
        <is>
          <t>凯琦FBA报价_当期.xlsx</t>
        </is>
      </c>
    </row>
    <row r="253">
      <c r="A253" s="1" t="inlineStr">
        <is>
          <t>美西普船</t>
        </is>
      </c>
      <c r="B253" s="1" t="inlineStr">
        <is>
          <t>美西普船</t>
        </is>
      </c>
      <c r="C253" s="1" t="inlineStr">
        <is>
          <t>Q-718专线</t>
        </is>
      </c>
      <c r="D253" s="1" t="inlineStr">
        <is>
          <t>青岛</t>
        </is>
      </c>
      <c r="E253" s="1" t="inlineStr">
        <is>
          <t>HLI2</t>
        </is>
      </c>
      <c r="F253" s="134" t="n">
        <v>9.779999999999999</v>
      </c>
      <c r="G253" s="1" t="inlineStr">
        <is>
          <t>RMB/KG</t>
        </is>
      </c>
      <c r="H253" s="134" t="n">
        <v>0</v>
      </c>
      <c r="I253" s="1" t="inlineStr">
        <is>
          <t>2026-10-26</t>
        </is>
      </c>
      <c r="J253" s="1" t="inlineStr">
        <is>
          <t>凯琦FBA报价_当期.xlsx</t>
        </is>
      </c>
    </row>
    <row r="254">
      <c r="A254" s="1" t="inlineStr">
        <is>
          <t>美西普船</t>
        </is>
      </c>
      <c r="B254" s="1" t="inlineStr">
        <is>
          <t>美西普船</t>
        </is>
      </c>
      <c r="C254" s="1" t="inlineStr">
        <is>
          <t>Q-718专线</t>
        </is>
      </c>
      <c r="D254" s="1" t="inlineStr">
        <is>
          <t>青岛</t>
        </is>
      </c>
      <c r="E254" s="1" t="inlineStr">
        <is>
          <t>MIT2</t>
        </is>
      </c>
      <c r="F254" s="134" t="n">
        <v>9.58</v>
      </c>
      <c r="G254" s="1" t="inlineStr">
        <is>
          <t>RMB/KG</t>
        </is>
      </c>
      <c r="H254" s="134" t="n">
        <v>0</v>
      </c>
      <c r="I254" s="1" t="inlineStr">
        <is>
          <t>2026-10-26</t>
        </is>
      </c>
      <c r="J254" s="1" t="inlineStr">
        <is>
          <t>凯琦FBA报价_当期.xlsx</t>
        </is>
      </c>
    </row>
    <row r="255">
      <c r="A255" s="1" t="inlineStr">
        <is>
          <t>美西普船</t>
        </is>
      </c>
      <c r="B255" s="1" t="inlineStr">
        <is>
          <t>美西普船</t>
        </is>
      </c>
      <c r="C255" s="1" t="inlineStr">
        <is>
          <t>Q-718专线</t>
        </is>
      </c>
      <c r="D255" s="1" t="inlineStr">
        <is>
          <t>青岛</t>
        </is>
      </c>
      <c r="E255" s="1" t="inlineStr">
        <is>
          <t>GEU2</t>
        </is>
      </c>
      <c r="F255" s="134" t="n">
        <v>9.58</v>
      </c>
      <c r="G255" s="1" t="inlineStr">
        <is>
          <t>RMB/KG</t>
        </is>
      </c>
      <c r="H255" s="134" t="n">
        <v>0</v>
      </c>
      <c r="I255" s="1" t="inlineStr">
        <is>
          <t>2026-10-26</t>
        </is>
      </c>
      <c r="J255" s="1" t="inlineStr">
        <is>
          <t>凯琦FBA报价_当期.xlsx</t>
        </is>
      </c>
    </row>
    <row r="256">
      <c r="A256" s="1" t="inlineStr">
        <is>
          <t>美西普船</t>
        </is>
      </c>
      <c r="B256" s="1" t="inlineStr">
        <is>
          <t>美西普船</t>
        </is>
      </c>
      <c r="C256" s="1" t="inlineStr">
        <is>
          <t>Q-718专线</t>
        </is>
      </c>
      <c r="D256" s="1" t="inlineStr">
        <is>
          <t>青岛</t>
        </is>
      </c>
      <c r="E256" s="1" t="inlineStr">
        <is>
          <t>SMF3</t>
        </is>
      </c>
      <c r="F256" s="134" t="n">
        <v>9.779999999999999</v>
      </c>
      <c r="G256" s="1" t="inlineStr">
        <is>
          <t>RMB/KG</t>
        </is>
      </c>
      <c r="H256" s="134" t="n">
        <v>0</v>
      </c>
      <c r="I256" s="1" t="inlineStr">
        <is>
          <t>2026-10-26</t>
        </is>
      </c>
      <c r="J256" s="1" t="inlineStr">
        <is>
          <t>凯琦FBA报价_当期.xlsx</t>
        </is>
      </c>
    </row>
    <row r="257">
      <c r="A257" s="1" t="inlineStr">
        <is>
          <t>美西普船</t>
        </is>
      </c>
      <c r="B257" s="1" t="inlineStr">
        <is>
          <t>美西普船</t>
        </is>
      </c>
      <c r="C257" s="1" t="inlineStr">
        <is>
          <t>Q-718专线</t>
        </is>
      </c>
      <c r="D257" s="1" t="inlineStr">
        <is>
          <t>青岛</t>
        </is>
      </c>
      <c r="E257" s="1" t="inlineStr">
        <is>
          <t>SMF6</t>
        </is>
      </c>
      <c r="F257" s="134" t="n">
        <v>10.58</v>
      </c>
      <c r="G257" s="1" t="inlineStr">
        <is>
          <t>RMB/KG</t>
        </is>
      </c>
      <c r="H257" s="134" t="n">
        <v>0</v>
      </c>
      <c r="I257" s="1" t="inlineStr">
        <is>
          <t>2026-10-26</t>
        </is>
      </c>
      <c r="J257" s="1" t="inlineStr">
        <is>
          <t>凯琦FBA报价_当期.xlsx</t>
        </is>
      </c>
    </row>
    <row r="258">
      <c r="A258" s="1" t="inlineStr">
        <is>
          <t>美西普船</t>
        </is>
      </c>
      <c r="B258" s="1" t="inlineStr">
        <is>
          <t>美西普船</t>
        </is>
      </c>
      <c r="C258" s="1" t="inlineStr">
        <is>
          <t>Q-718专线</t>
        </is>
      </c>
      <c r="D258" s="1" t="inlineStr">
        <is>
          <t>青岛</t>
        </is>
      </c>
      <c r="E258" s="1" t="inlineStr">
        <is>
          <t>SCK1</t>
        </is>
      </c>
      <c r="F258" s="134" t="n">
        <v>9.98</v>
      </c>
      <c r="G258" s="1" t="inlineStr">
        <is>
          <t>RMB/KG</t>
        </is>
      </c>
      <c r="H258" s="134" t="n">
        <v>0</v>
      </c>
      <c r="I258" s="1" t="inlineStr">
        <is>
          <t>2026-10-26</t>
        </is>
      </c>
      <c r="J258" s="1" t="inlineStr">
        <is>
          <t>凯琦FBA报价_当期.xlsx</t>
        </is>
      </c>
    </row>
    <row r="259">
      <c r="A259" s="1" t="inlineStr">
        <is>
          <t>美西普船</t>
        </is>
      </c>
      <c r="B259" s="1" t="inlineStr">
        <is>
          <t>美西普船</t>
        </is>
      </c>
      <c r="C259" s="1" t="inlineStr">
        <is>
          <t>Q-718专线</t>
        </is>
      </c>
      <c r="D259" s="1" t="inlineStr">
        <is>
          <t>青岛</t>
        </is>
      </c>
      <c r="E259" s="1" t="inlineStr">
        <is>
          <t>SCK8</t>
        </is>
      </c>
      <c r="F259" s="134" t="n">
        <v>9.880000000000001</v>
      </c>
      <c r="G259" s="1" t="inlineStr">
        <is>
          <t>RMB/KG</t>
        </is>
      </c>
      <c r="H259" s="134" t="n">
        <v>0</v>
      </c>
      <c r="I259" s="1" t="inlineStr">
        <is>
          <t>2026-10-26</t>
        </is>
      </c>
      <c r="J259" s="1" t="inlineStr">
        <is>
          <t>凯琦FBA报价_当期.xlsx</t>
        </is>
      </c>
    </row>
    <row r="260">
      <c r="A260" s="1" t="inlineStr">
        <is>
          <t>美西普船</t>
        </is>
      </c>
      <c r="B260" s="1" t="inlineStr">
        <is>
          <t>美西普船</t>
        </is>
      </c>
      <c r="C260" s="1" t="inlineStr">
        <is>
          <t>Q-718专线</t>
        </is>
      </c>
      <c r="D260" s="1" t="inlineStr">
        <is>
          <t>青岛</t>
        </is>
      </c>
      <c r="E260" s="1" t="inlineStr">
        <is>
          <t>SCK4</t>
        </is>
      </c>
      <c r="F260" s="134" t="n">
        <v>9.779999999999999</v>
      </c>
      <c r="G260" s="1" t="inlineStr">
        <is>
          <t>RMB/KG</t>
        </is>
      </c>
      <c r="H260" s="134" t="n">
        <v>0</v>
      </c>
      <c r="I260" s="1" t="inlineStr">
        <is>
          <t>2026-10-26</t>
        </is>
      </c>
      <c r="J260" s="1" t="inlineStr">
        <is>
          <t>凯琦FBA报价_当期.xlsx</t>
        </is>
      </c>
    </row>
    <row r="261">
      <c r="A261" s="1" t="inlineStr">
        <is>
          <t>美西普船</t>
        </is>
      </c>
      <c r="B261" s="1" t="inlineStr">
        <is>
          <t>美西普船</t>
        </is>
      </c>
      <c r="C261" s="1" t="inlineStr">
        <is>
          <t>Q-718专线</t>
        </is>
      </c>
      <c r="D261" s="1" t="inlineStr">
        <is>
          <t>青岛</t>
        </is>
      </c>
      <c r="E261" s="1" t="inlineStr">
        <is>
          <t>TCY1</t>
        </is>
      </c>
      <c r="F261" s="134" t="n">
        <v>9.779999999999999</v>
      </c>
      <c r="G261" s="1" t="inlineStr">
        <is>
          <t>RMB/KG</t>
        </is>
      </c>
      <c r="H261" s="134" t="n">
        <v>0</v>
      </c>
      <c r="I261" s="1" t="inlineStr">
        <is>
          <t>2026-10-26</t>
        </is>
      </c>
      <c r="J261" s="1" t="inlineStr">
        <is>
          <t>凯琦FBA报价_当期.xlsx</t>
        </is>
      </c>
    </row>
    <row r="262">
      <c r="A262" s="1" t="inlineStr">
        <is>
          <t>美西普船</t>
        </is>
      </c>
      <c r="B262" s="1" t="inlineStr">
        <is>
          <t>美西普船</t>
        </is>
      </c>
      <c r="C262" s="1" t="inlineStr">
        <is>
          <t>Q-718专线</t>
        </is>
      </c>
      <c r="D262" s="1" t="inlineStr">
        <is>
          <t>青岛</t>
        </is>
      </c>
      <c r="E262" s="1" t="inlineStr">
        <is>
          <t>TCY2</t>
        </is>
      </c>
      <c r="F262" s="134" t="n">
        <v>9.779999999999999</v>
      </c>
      <c r="G262" s="1" t="inlineStr">
        <is>
          <t>RMB/KG</t>
        </is>
      </c>
      <c r="H262" s="134" t="n">
        <v>0</v>
      </c>
      <c r="I262" s="1" t="inlineStr">
        <is>
          <t>2026-10-26</t>
        </is>
      </c>
      <c r="J262" s="1" t="inlineStr">
        <is>
          <t>凯琦FBA报价_当期.xlsx</t>
        </is>
      </c>
    </row>
    <row r="263">
      <c r="A263" s="1" t="inlineStr">
        <is>
          <t>美西普船</t>
        </is>
      </c>
      <c r="B263" s="1" t="inlineStr">
        <is>
          <t>美西普船</t>
        </is>
      </c>
      <c r="C263" s="1" t="inlineStr">
        <is>
          <t>Q-718专线</t>
        </is>
      </c>
      <c r="D263" s="1" t="inlineStr">
        <is>
          <t>青岛</t>
        </is>
      </c>
      <c r="E263" s="1" t="inlineStr">
        <is>
          <t>QXY8</t>
        </is>
      </c>
      <c r="F263" s="134" t="n">
        <v>9.880000000000001</v>
      </c>
      <c r="G263" s="1" t="inlineStr">
        <is>
          <t>RMB/KG</t>
        </is>
      </c>
      <c r="H263" s="134" t="n">
        <v>0</v>
      </c>
      <c r="I263" s="1" t="inlineStr">
        <is>
          <t>2026-10-26</t>
        </is>
      </c>
      <c r="J263" s="1" t="inlineStr">
        <is>
          <t>凯琦FBA报价_当期.xlsx</t>
        </is>
      </c>
    </row>
    <row r="264">
      <c r="A264" s="1" t="inlineStr">
        <is>
          <t>美西普船</t>
        </is>
      </c>
      <c r="B264" s="1" t="inlineStr">
        <is>
          <t>美西普船</t>
        </is>
      </c>
      <c r="C264" s="1" t="inlineStr">
        <is>
          <t>Q-718专线</t>
        </is>
      </c>
      <c r="D264" s="1" t="inlineStr">
        <is>
          <t>青岛</t>
        </is>
      </c>
      <c r="E264" s="1" t="inlineStr">
        <is>
          <t>IUTE</t>
        </is>
      </c>
      <c r="F264" s="134" t="n">
        <v>10.48</v>
      </c>
      <c r="G264" s="1" t="inlineStr">
        <is>
          <t>RMB/KG</t>
        </is>
      </c>
      <c r="H264" s="134" t="n">
        <v>0</v>
      </c>
      <c r="I264" s="1" t="inlineStr">
        <is>
          <t>2026-10-26</t>
        </is>
      </c>
      <c r="J264" s="1" t="inlineStr">
        <is>
          <t>凯琦FBA报价_当期.xlsx</t>
        </is>
      </c>
    </row>
    <row r="265">
      <c r="A265" s="1" t="inlineStr">
        <is>
          <t>美西普船</t>
        </is>
      </c>
      <c r="B265" s="1" t="inlineStr">
        <is>
          <t>美西普船</t>
        </is>
      </c>
      <c r="C265" s="1" t="inlineStr">
        <is>
          <t>Q-718专线</t>
        </is>
      </c>
      <c r="D265" s="1" t="inlineStr">
        <is>
          <t>青岛</t>
        </is>
      </c>
      <c r="E265" s="1" t="inlineStr">
        <is>
          <t>ABQ2</t>
        </is>
      </c>
      <c r="F265" s="134" t="n">
        <v>10.58</v>
      </c>
      <c r="G265" s="1" t="inlineStr">
        <is>
          <t>RMB/KG</t>
        </is>
      </c>
      <c r="H265" s="134" t="n">
        <v>0</v>
      </c>
      <c r="I265" s="1" t="inlineStr">
        <is>
          <t>2026-10-26</t>
        </is>
      </c>
      <c r="J265" s="1" t="inlineStr">
        <is>
          <t>凯琦FBA报价_当期.xlsx</t>
        </is>
      </c>
    </row>
    <row r="266">
      <c r="A266" s="1" t="inlineStr">
        <is>
          <t>美西普船</t>
        </is>
      </c>
      <c r="B266" s="1" t="inlineStr">
        <is>
          <t>美西普船</t>
        </is>
      </c>
      <c r="C266" s="1" t="inlineStr">
        <is>
          <t>Q-718专线</t>
        </is>
      </c>
      <c r="D266" s="1" t="inlineStr">
        <is>
          <t>青岛</t>
        </is>
      </c>
      <c r="E266" s="1" t="inlineStr">
        <is>
          <t>MCC1</t>
        </is>
      </c>
      <c r="F266" s="134" t="n">
        <v>10.08</v>
      </c>
      <c r="G266" s="1" t="inlineStr">
        <is>
          <t>RMB/KG</t>
        </is>
      </c>
      <c r="H266" s="134" t="n">
        <v>0</v>
      </c>
      <c r="I266" s="1" t="inlineStr">
        <is>
          <t>2026-10-26</t>
        </is>
      </c>
      <c r="J266" s="1" t="inlineStr">
        <is>
          <t>凯琦FBA报价_当期.xlsx</t>
        </is>
      </c>
    </row>
    <row r="267">
      <c r="A267" s="1" t="inlineStr">
        <is>
          <t>美西普船</t>
        </is>
      </c>
      <c r="B267" s="1" t="inlineStr">
        <is>
          <t>美西普船</t>
        </is>
      </c>
      <c r="C267" s="1" t="inlineStr">
        <is>
          <t>Q-718专线</t>
        </is>
      </c>
      <c r="D267" s="1" t="inlineStr">
        <is>
          <t>青岛</t>
        </is>
      </c>
      <c r="E267" s="1" t="inlineStr">
        <is>
          <t>IAZ1</t>
        </is>
      </c>
      <c r="F267" s="134" t="n">
        <v>10.08</v>
      </c>
      <c r="G267" s="1" t="inlineStr">
        <is>
          <t>RMB/KG</t>
        </is>
      </c>
      <c r="H267" s="134" t="n">
        <v>0</v>
      </c>
      <c r="I267" s="1" t="inlineStr">
        <is>
          <t>2026-10-26</t>
        </is>
      </c>
      <c r="J267" s="1" t="inlineStr">
        <is>
          <t>凯琦FBA报价_当期.xlsx</t>
        </is>
      </c>
    </row>
    <row r="268">
      <c r="A268" s="1" t="inlineStr">
        <is>
          <t>美西普船</t>
        </is>
      </c>
      <c r="B268" s="1" t="inlineStr">
        <is>
          <t>美西普船</t>
        </is>
      </c>
      <c r="C268" s="1" t="inlineStr">
        <is>
          <t>Q-718专线</t>
        </is>
      </c>
      <c r="D268" s="1" t="inlineStr">
        <is>
          <t>青岛</t>
        </is>
      </c>
      <c r="E268" s="1" t="inlineStr">
        <is>
          <t>FTW1</t>
        </is>
      </c>
      <c r="F268" s="134" t="n">
        <v>12.28</v>
      </c>
      <c r="G268" s="1" t="inlineStr">
        <is>
          <t>RMB/KG</t>
        </is>
      </c>
      <c r="H268" s="134" t="n">
        <v>0</v>
      </c>
      <c r="I268" s="1" t="inlineStr">
        <is>
          <t>2026-10-26</t>
        </is>
      </c>
      <c r="J268" s="1" t="inlineStr">
        <is>
          <t>凯琦FBA报价_当期.xlsx</t>
        </is>
      </c>
    </row>
    <row r="269">
      <c r="A269" s="1" t="inlineStr">
        <is>
          <t>美西普船</t>
        </is>
      </c>
      <c r="B269" s="1" t="inlineStr">
        <is>
          <t>美西普船</t>
        </is>
      </c>
      <c r="C269" s="1" t="inlineStr">
        <is>
          <t>Q-718专线</t>
        </is>
      </c>
      <c r="D269" s="1" t="inlineStr">
        <is>
          <t>青岛</t>
        </is>
      </c>
      <c r="E269" s="1" t="inlineStr">
        <is>
          <t>IAH3</t>
        </is>
      </c>
      <c r="F269" s="134" t="n">
        <v>12.38</v>
      </c>
      <c r="G269" s="1" t="inlineStr">
        <is>
          <t>RMB/KG</t>
        </is>
      </c>
      <c r="H269" s="134" t="n">
        <v>0</v>
      </c>
      <c r="I269" s="1" t="inlineStr">
        <is>
          <t>2026-10-26</t>
        </is>
      </c>
      <c r="J269" s="1" t="inlineStr">
        <is>
          <t>凯琦FBA报价_当期.xlsx</t>
        </is>
      </c>
    </row>
    <row r="270">
      <c r="A270" s="1" t="inlineStr">
        <is>
          <t>美西普船</t>
        </is>
      </c>
      <c r="B270" s="1" t="inlineStr">
        <is>
          <t>美西普船</t>
        </is>
      </c>
      <c r="C270" s="1" t="inlineStr">
        <is>
          <t>Q-718专线</t>
        </is>
      </c>
      <c r="D270" s="1" t="inlineStr">
        <is>
          <t>青岛</t>
        </is>
      </c>
      <c r="E270" s="1" t="inlineStr">
        <is>
          <t>MDW2</t>
        </is>
      </c>
      <c r="F270" s="134" t="n">
        <v>13.08</v>
      </c>
      <c r="G270" s="1" t="inlineStr">
        <is>
          <t>RMB/KG</t>
        </is>
      </c>
      <c r="H270" s="134" t="n">
        <v>0</v>
      </c>
      <c r="I270" s="1" t="inlineStr">
        <is>
          <t>2026-10-26</t>
        </is>
      </c>
      <c r="J270" s="1" t="inlineStr">
        <is>
          <t>凯琦FBA报价_当期.xlsx</t>
        </is>
      </c>
    </row>
    <row r="271">
      <c r="A271" s="1" t="inlineStr">
        <is>
          <t>美西普船</t>
        </is>
      </c>
      <c r="B271" s="1" t="inlineStr">
        <is>
          <t>美西普船</t>
        </is>
      </c>
      <c r="C271" s="1" t="inlineStr">
        <is>
          <t>Q-718专线</t>
        </is>
      </c>
      <c r="D271" s="1" t="inlineStr">
        <is>
          <t>青岛</t>
        </is>
      </c>
      <c r="E271" s="1" t="inlineStr">
        <is>
          <t>IND9</t>
        </is>
      </c>
      <c r="F271" s="134" t="n">
        <v>13.18</v>
      </c>
      <c r="G271" s="1" t="inlineStr">
        <is>
          <t>RMB/KG</t>
        </is>
      </c>
      <c r="H271" s="134" t="n">
        <v>0</v>
      </c>
      <c r="I271" s="1" t="inlineStr">
        <is>
          <t>2026-10-26</t>
        </is>
      </c>
      <c r="J271" s="1" t="inlineStr">
        <is>
          <t>凯琦FBA报价_当期.xlsx</t>
        </is>
      </c>
    </row>
    <row r="272">
      <c r="A272" s="1" t="inlineStr">
        <is>
          <t>美西普船</t>
        </is>
      </c>
      <c r="B272" s="1" t="inlineStr">
        <is>
          <t>美西普船</t>
        </is>
      </c>
      <c r="C272" s="1" t="inlineStr">
        <is>
          <t>Q-718专线</t>
        </is>
      </c>
      <c r="D272" s="1" t="inlineStr">
        <is>
          <t>青岛</t>
        </is>
      </c>
      <c r="E272" s="1" t="inlineStr">
        <is>
          <t>FWA4</t>
        </is>
      </c>
      <c r="F272" s="134" t="n">
        <v>13.08</v>
      </c>
      <c r="G272" s="1" t="inlineStr">
        <is>
          <t>RMB/KG</t>
        </is>
      </c>
      <c r="H272" s="134" t="n">
        <v>0</v>
      </c>
      <c r="I272" s="1" t="inlineStr">
        <is>
          <t>2026-10-26</t>
        </is>
      </c>
      <c r="J272" s="1" t="inlineStr">
        <is>
          <t>凯琦FBA报价_当期.xlsx</t>
        </is>
      </c>
    </row>
    <row r="273">
      <c r="A273" s="1" t="inlineStr">
        <is>
          <t>美西普船</t>
        </is>
      </c>
      <c r="B273" s="1" t="inlineStr">
        <is>
          <t>美西普船</t>
        </is>
      </c>
      <c r="C273" s="1" t="inlineStr">
        <is>
          <t>Q-718专线</t>
        </is>
      </c>
      <c r="D273" s="1" t="inlineStr">
        <is>
          <t>青岛</t>
        </is>
      </c>
      <c r="E273" s="1" t="inlineStr">
        <is>
          <t>MQJ1</t>
        </is>
      </c>
      <c r="F273" s="134" t="n">
        <v>13.18</v>
      </c>
      <c r="G273" s="1" t="inlineStr">
        <is>
          <t>RMB/KG</t>
        </is>
      </c>
      <c r="H273" s="134" t="n">
        <v>0</v>
      </c>
      <c r="I273" s="1" t="inlineStr">
        <is>
          <t>2026-10-26</t>
        </is>
      </c>
      <c r="J273" s="1" t="inlineStr">
        <is>
          <t>凯琦FBA报价_当期.xlsx</t>
        </is>
      </c>
    </row>
    <row r="274">
      <c r="A274" s="1" t="inlineStr">
        <is>
          <t>美西普船</t>
        </is>
      </c>
      <c r="B274" s="1" t="inlineStr">
        <is>
          <t>美西普船</t>
        </is>
      </c>
      <c r="C274" s="1" t="inlineStr">
        <is>
          <t>Q-718专线</t>
        </is>
      </c>
      <c r="D274" s="1" t="inlineStr">
        <is>
          <t>青岛</t>
        </is>
      </c>
      <c r="E274" s="1" t="inlineStr">
        <is>
          <t>MEM1</t>
        </is>
      </c>
      <c r="F274" s="134" t="n">
        <v>12.58</v>
      </c>
      <c r="G274" s="1" t="inlineStr">
        <is>
          <t>RMB/KG</t>
        </is>
      </c>
      <c r="H274" s="134" t="n">
        <v>0</v>
      </c>
      <c r="I274" s="1" t="inlineStr">
        <is>
          <t>2026-10-26</t>
        </is>
      </c>
      <c r="J274" s="1" t="inlineStr">
        <is>
          <t>凯琦FBA报价_当期.xlsx</t>
        </is>
      </c>
    </row>
    <row r="275">
      <c r="A275" s="1" t="inlineStr">
        <is>
          <t>美西普船</t>
        </is>
      </c>
      <c r="B275" s="1" t="inlineStr">
        <is>
          <t>美西普船</t>
        </is>
      </c>
      <c r="C275" s="1" t="inlineStr">
        <is>
          <t>Q-718专线</t>
        </is>
      </c>
      <c r="D275" s="1" t="inlineStr">
        <is>
          <t>青岛</t>
        </is>
      </c>
      <c r="E275" s="1" t="inlineStr">
        <is>
          <t>BJC1</t>
        </is>
      </c>
      <c r="F275" s="134" t="n">
        <v>12.38</v>
      </c>
      <c r="G275" s="1" t="inlineStr">
        <is>
          <t>RMB/KG</t>
        </is>
      </c>
      <c r="H275" s="134" t="n">
        <v>0</v>
      </c>
      <c r="I275" s="1" t="inlineStr">
        <is>
          <t>2026-10-26</t>
        </is>
      </c>
      <c r="J275" s="1" t="inlineStr">
        <is>
          <t>凯琦FBA报价_当期.xlsx</t>
        </is>
      </c>
    </row>
    <row r="276">
      <c r="A276" s="1" t="inlineStr">
        <is>
          <t>美西普船</t>
        </is>
      </c>
      <c r="B276" s="1" t="inlineStr">
        <is>
          <t>美西普船</t>
        </is>
      </c>
      <c r="C276" s="1" t="inlineStr">
        <is>
          <t>Q-718专线</t>
        </is>
      </c>
      <c r="D276" s="1" t="inlineStr">
        <is>
          <t>青岛</t>
        </is>
      </c>
      <c r="E276" s="1" t="inlineStr">
        <is>
          <t>DEN8</t>
        </is>
      </c>
      <c r="F276" s="134" t="n">
        <v>12.38</v>
      </c>
      <c r="G276" s="1" t="inlineStr">
        <is>
          <t>RMB/KG</t>
        </is>
      </c>
      <c r="H276" s="134" t="n">
        <v>0</v>
      </c>
      <c r="I276" s="1" t="inlineStr">
        <is>
          <t>2026-10-26</t>
        </is>
      </c>
      <c r="J276" s="1" t="inlineStr">
        <is>
          <t>凯琦FBA报价_当期.xlsx</t>
        </is>
      </c>
    </row>
    <row r="277">
      <c r="A277" s="1" t="inlineStr">
        <is>
          <t>美西普船</t>
        </is>
      </c>
      <c r="B277" s="1" t="inlineStr">
        <is>
          <t>美西普船</t>
        </is>
      </c>
      <c r="C277" s="1" t="inlineStr">
        <is>
          <t>Q-718专线</t>
        </is>
      </c>
      <c r="D277" s="1" t="inlineStr">
        <is>
          <t>青岛</t>
        </is>
      </c>
      <c r="E277" s="1" t="inlineStr">
        <is>
          <t>SLC2</t>
        </is>
      </c>
      <c r="F277" s="134" t="n">
        <v>11.08</v>
      </c>
      <c r="G277" s="1" t="inlineStr">
        <is>
          <t>RMB/KG</t>
        </is>
      </c>
      <c r="H277" s="134" t="n">
        <v>0</v>
      </c>
      <c r="I277" s="1" t="inlineStr">
        <is>
          <t>2026-10-26</t>
        </is>
      </c>
      <c r="J277" s="1" t="inlineStr">
        <is>
          <t>凯琦FBA报价_当期.xlsx</t>
        </is>
      </c>
    </row>
    <row r="278">
      <c r="A278" s="1" t="inlineStr">
        <is>
          <t>美西普船</t>
        </is>
      </c>
      <c r="B278" s="1" t="inlineStr">
        <is>
          <t>美西普船</t>
        </is>
      </c>
      <c r="C278" s="1" t="inlineStr">
        <is>
          <t>Q-718专线</t>
        </is>
      </c>
      <c r="D278" s="1" t="inlineStr">
        <is>
          <t>青岛</t>
        </is>
      </c>
      <c r="E278" s="1" t="inlineStr">
        <is>
          <t>RFD2</t>
        </is>
      </c>
      <c r="F278" s="134" t="n">
        <v>13.08</v>
      </c>
      <c r="G278" s="1" t="inlineStr">
        <is>
          <t>RMB/KG</t>
        </is>
      </c>
      <c r="H278" s="134" t="n">
        <v>0</v>
      </c>
      <c r="I278" s="1" t="inlineStr">
        <is>
          <t>2026-10-26</t>
        </is>
      </c>
      <c r="J278" s="1" t="inlineStr">
        <is>
          <t>凯琦FBA报价_当期.xlsx</t>
        </is>
      </c>
    </row>
    <row r="279">
      <c r="A279" s="1" t="inlineStr">
        <is>
          <t>美西普船</t>
        </is>
      </c>
      <c r="B279" s="1" t="inlineStr">
        <is>
          <t>美西普船</t>
        </is>
      </c>
      <c r="C279" s="1" t="inlineStr">
        <is>
          <t>Q-718专线</t>
        </is>
      </c>
      <c r="D279" s="1" t="inlineStr">
        <is>
          <t>青岛</t>
        </is>
      </c>
      <c r="E279" s="1" t="inlineStr">
        <is>
          <t>GEG2</t>
        </is>
      </c>
      <c r="F279" s="134" t="n">
        <v>13.78</v>
      </c>
      <c r="G279" s="1" t="inlineStr">
        <is>
          <t>RMB/KG</t>
        </is>
      </c>
      <c r="H279" s="134" t="n">
        <v>0</v>
      </c>
      <c r="I279" s="1" t="inlineStr">
        <is>
          <t>2026-10-26</t>
        </is>
      </c>
      <c r="J279" s="1" t="inlineStr">
        <is>
          <t>凯琦FBA报价_当期.xlsx</t>
        </is>
      </c>
    </row>
    <row r="280">
      <c r="A280" s="1" t="inlineStr">
        <is>
          <t>美西普船</t>
        </is>
      </c>
      <c r="B280" s="1" t="inlineStr">
        <is>
          <t>美西普船</t>
        </is>
      </c>
      <c r="C280" s="1" t="inlineStr">
        <is>
          <t>Q-718专线</t>
        </is>
      </c>
      <c r="D280" s="1" t="inlineStr">
        <is>
          <t>青岛</t>
        </is>
      </c>
      <c r="E280" s="1" t="inlineStr">
        <is>
          <t>PDX7</t>
        </is>
      </c>
      <c r="F280" s="134" t="n">
        <v>12.28</v>
      </c>
      <c r="G280" s="1" t="inlineStr">
        <is>
          <t>RMB/KG</t>
        </is>
      </c>
      <c r="H280" s="134" t="n">
        <v>0</v>
      </c>
      <c r="I280" s="1" t="inlineStr">
        <is>
          <t>2026-10-26</t>
        </is>
      </c>
      <c r="J280" s="1" t="inlineStr">
        <is>
          <t>凯琦FBA报价_当期.xlsx</t>
        </is>
      </c>
    </row>
    <row r="281">
      <c r="A281" s="1" t="inlineStr">
        <is>
          <t>美西普船</t>
        </is>
      </c>
      <c r="B281" s="1" t="inlineStr">
        <is>
          <t>美西普船</t>
        </is>
      </c>
      <c r="C281" s="1" t="inlineStr">
        <is>
          <t>Q-718专线</t>
        </is>
      </c>
      <c r="D281" s="1" t="inlineStr">
        <is>
          <t>青岛</t>
        </is>
      </c>
      <c r="E281" s="1" t="inlineStr">
        <is>
          <t>ITX3</t>
        </is>
      </c>
      <c r="F281" s="134" t="n">
        <v>12.28</v>
      </c>
      <c r="G281" s="1" t="inlineStr">
        <is>
          <t>RMB/KG</t>
        </is>
      </c>
      <c r="H281" s="134" t="n">
        <v>0</v>
      </c>
      <c r="I281" s="1" t="inlineStr">
        <is>
          <t>2026-10-26</t>
        </is>
      </c>
      <c r="J281" s="1" t="inlineStr">
        <is>
          <t>凯琦FBA报价_当期.xlsx</t>
        </is>
      </c>
    </row>
    <row r="282">
      <c r="A282" s="1" t="inlineStr">
        <is>
          <t>美西普船</t>
        </is>
      </c>
      <c r="B282" s="1" t="inlineStr">
        <is>
          <t>美西普船</t>
        </is>
      </c>
      <c r="C282" s="1" t="inlineStr">
        <is>
          <t>Q-718专线</t>
        </is>
      </c>
      <c r="D282" s="1" t="inlineStr">
        <is>
          <t>青岛</t>
        </is>
      </c>
      <c r="E282" s="1" t="inlineStr">
        <is>
          <t>ABE8</t>
        </is>
      </c>
      <c r="F282" s="134" t="n">
        <v>14.48</v>
      </c>
      <c r="G282" s="1" t="inlineStr">
        <is>
          <t>RMB/KG</t>
        </is>
      </c>
      <c r="H282" s="134" t="n">
        <v>0</v>
      </c>
      <c r="I282" s="1" t="inlineStr">
        <is>
          <t>2026-10-26</t>
        </is>
      </c>
      <c r="J282" s="1" t="inlineStr">
        <is>
          <t>凯琦FBA报价_当期.xlsx</t>
        </is>
      </c>
    </row>
    <row r="283">
      <c r="A283" s="1" t="inlineStr">
        <is>
          <t>美西普船</t>
        </is>
      </c>
      <c r="B283" s="1" t="inlineStr">
        <is>
          <t>美西普船</t>
        </is>
      </c>
      <c r="C283" s="1" t="inlineStr">
        <is>
          <t>Q-718专线</t>
        </is>
      </c>
      <c r="D283" s="1" t="inlineStr">
        <is>
          <t>青岛</t>
        </is>
      </c>
      <c r="E283" s="1" t="inlineStr">
        <is>
          <t>AVP1</t>
        </is>
      </c>
      <c r="F283" s="134" t="n">
        <v>14.48</v>
      </c>
      <c r="G283" s="1" t="inlineStr">
        <is>
          <t>RMB/KG</t>
        </is>
      </c>
      <c r="H283" s="134" t="n">
        <v>0</v>
      </c>
      <c r="I283" s="1" t="inlineStr">
        <is>
          <t>2026-10-26</t>
        </is>
      </c>
      <c r="J283" s="1" t="inlineStr">
        <is>
          <t>凯琦FBA报价_当期.xlsx</t>
        </is>
      </c>
    </row>
    <row r="284">
      <c r="A284" s="1" t="inlineStr">
        <is>
          <t>美西普船</t>
        </is>
      </c>
      <c r="B284" s="1" t="inlineStr">
        <is>
          <t>美西普船</t>
        </is>
      </c>
      <c r="C284" s="1" t="inlineStr">
        <is>
          <t>Q-718专线</t>
        </is>
      </c>
      <c r="D284" s="1" t="inlineStr">
        <is>
          <t>青岛</t>
        </is>
      </c>
      <c r="E284" s="1" t="inlineStr">
        <is>
          <t>CLT2</t>
        </is>
      </c>
      <c r="F284" s="134" t="n">
        <v>14.08</v>
      </c>
      <c r="G284" s="1" t="inlineStr">
        <is>
          <t>RMB/KG</t>
        </is>
      </c>
      <c r="H284" s="134" t="n">
        <v>0</v>
      </c>
      <c r="I284" s="1" t="inlineStr">
        <is>
          <t>2026-10-26</t>
        </is>
      </c>
      <c r="J284" s="1" t="inlineStr">
        <is>
          <t>凯琦FBA报价_当期.xlsx</t>
        </is>
      </c>
    </row>
    <row r="285">
      <c r="A285" s="1" t="inlineStr">
        <is>
          <t>美西普船</t>
        </is>
      </c>
      <c r="B285" s="1" t="inlineStr">
        <is>
          <t>美西普船</t>
        </is>
      </c>
      <c r="C285" s="1" t="inlineStr">
        <is>
          <t>Q-718专线</t>
        </is>
      </c>
      <c r="D285" s="1" t="inlineStr">
        <is>
          <t>青岛</t>
        </is>
      </c>
      <c r="E285" s="1" t="inlineStr">
        <is>
          <t>RMN3</t>
        </is>
      </c>
      <c r="F285" s="134" t="n">
        <v>14.48</v>
      </c>
      <c r="G285" s="1" t="inlineStr">
        <is>
          <t>RMB/KG</t>
        </is>
      </c>
      <c r="H285" s="134" t="n">
        <v>0</v>
      </c>
      <c r="I285" s="1" t="inlineStr">
        <is>
          <t>2026-10-26</t>
        </is>
      </c>
      <c r="J285" s="1" t="inlineStr">
        <is>
          <t>凯琦FBA报价_当期.xlsx</t>
        </is>
      </c>
    </row>
    <row r="286">
      <c r="A286" s="1" t="inlineStr">
        <is>
          <t>美西普船</t>
        </is>
      </c>
      <c r="B286" s="1" t="inlineStr">
        <is>
          <t>美西普船</t>
        </is>
      </c>
      <c r="C286" s="1" t="inlineStr">
        <is>
          <t>Q-718专线</t>
        </is>
      </c>
      <c r="D286" s="1" t="inlineStr">
        <is>
          <t>青岛</t>
        </is>
      </c>
      <c r="E286" s="1" t="inlineStr">
        <is>
          <t>ORF2</t>
        </is>
      </c>
      <c r="F286" s="134" t="n">
        <v>14.48</v>
      </c>
      <c r="G286" s="1" t="inlineStr">
        <is>
          <t>RMB/KG</t>
        </is>
      </c>
      <c r="H286" s="134" t="n">
        <v>0</v>
      </c>
      <c r="I286" s="1" t="inlineStr">
        <is>
          <t>2026-10-26</t>
        </is>
      </c>
      <c r="J286" s="1" t="inlineStr">
        <is>
          <t>凯琦FBA报价_当期.xlsx</t>
        </is>
      </c>
    </row>
    <row r="287">
      <c r="A287" s="1" t="inlineStr">
        <is>
          <t>美西普船</t>
        </is>
      </c>
      <c r="B287" s="1" t="inlineStr">
        <is>
          <t>美西普船</t>
        </is>
      </c>
      <c r="C287" s="1" t="inlineStr">
        <is>
          <t>Q-718专线</t>
        </is>
      </c>
      <c r="D287" s="1" t="inlineStr">
        <is>
          <t>青岛</t>
        </is>
      </c>
      <c r="E287" s="1" t="inlineStr">
        <is>
          <t>RDU2</t>
        </is>
      </c>
      <c r="F287" s="134" t="n">
        <v>14.48</v>
      </c>
      <c r="G287" s="1" t="inlineStr">
        <is>
          <t>RMB/KG</t>
        </is>
      </c>
      <c r="H287" s="134" t="n">
        <v>0</v>
      </c>
      <c r="I287" s="1" t="inlineStr">
        <is>
          <t>2026-10-26</t>
        </is>
      </c>
      <c r="J287" s="1" t="inlineStr">
        <is>
          <t>凯琦FBA报价_当期.xlsx</t>
        </is>
      </c>
    </row>
    <row r="288">
      <c r="A288" s="1" t="inlineStr">
        <is>
          <t>美西普船</t>
        </is>
      </c>
      <c r="B288" s="1" t="inlineStr">
        <is>
          <t>美西普船</t>
        </is>
      </c>
      <c r="C288" s="1" t="inlineStr">
        <is>
          <t>Q-718专线</t>
        </is>
      </c>
      <c r="D288" s="1" t="inlineStr">
        <is>
          <t>青岛</t>
        </is>
      </c>
      <c r="E288" s="1" t="inlineStr">
        <is>
          <t>TEB9</t>
        </is>
      </c>
      <c r="F288" s="134" t="n">
        <v>14.48</v>
      </c>
      <c r="G288" s="1" t="inlineStr">
        <is>
          <t>RMB/KG</t>
        </is>
      </c>
      <c r="H288" s="134" t="n">
        <v>0</v>
      </c>
      <c r="I288" s="1" t="inlineStr">
        <is>
          <t>2026-10-26</t>
        </is>
      </c>
      <c r="J288" s="1" t="inlineStr">
        <is>
          <t>凯琦FBA报价_当期.xlsx</t>
        </is>
      </c>
    </row>
    <row r="289">
      <c r="A289" s="1" t="inlineStr">
        <is>
          <t>美西普船</t>
        </is>
      </c>
      <c r="B289" s="1" t="inlineStr">
        <is>
          <t>美西普船</t>
        </is>
      </c>
      <c r="C289" s="1" t="inlineStr">
        <is>
          <t>Q-718专线</t>
        </is>
      </c>
      <c r="D289" s="1" t="inlineStr">
        <is>
          <t>青岛</t>
        </is>
      </c>
      <c r="E289" s="1" t="inlineStr">
        <is>
          <t>SWF2</t>
        </is>
      </c>
      <c r="F289" s="134" t="n">
        <v>14.38</v>
      </c>
      <c r="G289" s="1" t="inlineStr">
        <is>
          <t>RMB/KG</t>
        </is>
      </c>
      <c r="H289" s="134" t="n">
        <v>0</v>
      </c>
      <c r="I289" s="1" t="inlineStr">
        <is>
          <t>2026-10-26</t>
        </is>
      </c>
      <c r="J289" s="1" t="inlineStr">
        <is>
          <t>凯琦FBA报价_当期.xlsx</t>
        </is>
      </c>
    </row>
    <row r="290">
      <c r="A290" s="1" t="inlineStr">
        <is>
          <t>美西普船</t>
        </is>
      </c>
      <c r="B290" s="1" t="inlineStr">
        <is>
          <t>美西普船</t>
        </is>
      </c>
      <c r="C290" s="1" t="inlineStr">
        <is>
          <t>Y-A4-专线</t>
        </is>
      </c>
      <c r="D290" s="1" t="inlineStr">
        <is>
          <t>义乌</t>
        </is>
      </c>
      <c r="E290" s="1" t="inlineStr">
        <is>
          <t>凯琦美西仓</t>
        </is>
      </c>
      <c r="F290" s="134" t="n">
        <v>7.98</v>
      </c>
      <c r="G290" s="1" t="inlineStr">
        <is>
          <t>RMB/KG</t>
        </is>
      </c>
      <c r="H290" s="134" t="n">
        <v>0</v>
      </c>
      <c r="I290" s="1" t="inlineStr">
        <is>
          <t>2026-10-26</t>
        </is>
      </c>
      <c r="J290" s="1" t="inlineStr">
        <is>
          <t>凯琦FBA报价_当期.xlsx</t>
        </is>
      </c>
    </row>
    <row r="291">
      <c r="A291" s="1" t="inlineStr">
        <is>
          <t>美西普船</t>
        </is>
      </c>
      <c r="B291" s="1" t="inlineStr">
        <is>
          <t>美西普船</t>
        </is>
      </c>
      <c r="C291" s="1" t="inlineStr">
        <is>
          <t>Y-A4-专线</t>
        </is>
      </c>
      <c r="D291" s="1" t="inlineStr">
        <is>
          <t>义乌</t>
        </is>
      </c>
      <c r="E291" s="1" t="inlineStr">
        <is>
          <t>ONT8</t>
        </is>
      </c>
      <c r="F291" s="134" t="n">
        <v>8.279999999999999</v>
      </c>
      <c r="G291" s="1" t="inlineStr">
        <is>
          <t>RMB/KG</t>
        </is>
      </c>
      <c r="H291" s="134" t="n">
        <v>0</v>
      </c>
      <c r="I291" s="1" t="inlineStr">
        <is>
          <t>2026-10-26</t>
        </is>
      </c>
      <c r="J291" s="1" t="inlineStr">
        <is>
          <t>凯琦FBA报价_当期.xlsx</t>
        </is>
      </c>
    </row>
    <row r="292">
      <c r="A292" s="1" t="inlineStr">
        <is>
          <t>美西普船</t>
        </is>
      </c>
      <c r="B292" s="1" t="inlineStr">
        <is>
          <t>美西普船</t>
        </is>
      </c>
      <c r="C292" s="1" t="inlineStr">
        <is>
          <t>Y-A4-专线</t>
        </is>
      </c>
      <c r="D292" s="1" t="inlineStr">
        <is>
          <t>义乌</t>
        </is>
      </c>
      <c r="E292" s="1" t="inlineStr">
        <is>
          <t>LGB8</t>
        </is>
      </c>
      <c r="F292" s="134" t="n">
        <v>8.279999999999999</v>
      </c>
      <c r="G292" s="1" t="inlineStr">
        <is>
          <t>RMB/KG</t>
        </is>
      </c>
      <c r="H292" s="134" t="n">
        <v>0</v>
      </c>
      <c r="I292" s="1" t="inlineStr">
        <is>
          <t>2026-10-26</t>
        </is>
      </c>
      <c r="J292" s="1" t="inlineStr">
        <is>
          <t>凯琦FBA报价_当期.xlsx</t>
        </is>
      </c>
    </row>
    <row r="293">
      <c r="A293" s="1" t="inlineStr">
        <is>
          <t>美西普船</t>
        </is>
      </c>
      <c r="B293" s="1" t="inlineStr">
        <is>
          <t>美西普船</t>
        </is>
      </c>
      <c r="C293" s="1" t="inlineStr">
        <is>
          <t>Y-A4-专线</t>
        </is>
      </c>
      <c r="D293" s="1" t="inlineStr">
        <is>
          <t>义乌</t>
        </is>
      </c>
      <c r="E293" s="1" t="inlineStr">
        <is>
          <t>LAX9</t>
        </is>
      </c>
      <c r="F293" s="134" t="n">
        <v>8.279999999999999</v>
      </c>
      <c r="G293" s="1" t="inlineStr">
        <is>
          <t>RMB/KG</t>
        </is>
      </c>
      <c r="H293" s="134" t="n">
        <v>0</v>
      </c>
      <c r="I293" s="1" t="inlineStr">
        <is>
          <t>2026-10-26</t>
        </is>
      </c>
      <c r="J293" s="1" t="inlineStr">
        <is>
          <t>凯琦FBA报价_当期.xlsx</t>
        </is>
      </c>
    </row>
    <row r="294">
      <c r="A294" s="1" t="inlineStr">
        <is>
          <t>美西普船</t>
        </is>
      </c>
      <c r="B294" s="1" t="inlineStr">
        <is>
          <t>美西普船</t>
        </is>
      </c>
      <c r="C294" s="1" t="inlineStr">
        <is>
          <t>Y-A4-专线</t>
        </is>
      </c>
      <c r="D294" s="1" t="inlineStr">
        <is>
          <t>义乌</t>
        </is>
      </c>
      <c r="E294" s="1" t="inlineStr">
        <is>
          <t>SBD1</t>
        </is>
      </c>
      <c r="F294" s="134" t="n">
        <v>8.279999999999999</v>
      </c>
      <c r="G294" s="1" t="inlineStr">
        <is>
          <t>RMB/KG</t>
        </is>
      </c>
      <c r="H294" s="134" t="n">
        <v>0</v>
      </c>
      <c r="I294" s="1" t="inlineStr">
        <is>
          <t>2026-10-26</t>
        </is>
      </c>
      <c r="J294" s="1" t="inlineStr">
        <is>
          <t>凯琦FBA报价_当期.xlsx</t>
        </is>
      </c>
    </row>
    <row r="295">
      <c r="A295" s="1" t="inlineStr">
        <is>
          <t>美西普船</t>
        </is>
      </c>
      <c r="B295" s="1" t="inlineStr">
        <is>
          <t>美西普船</t>
        </is>
      </c>
      <c r="C295" s="1" t="inlineStr">
        <is>
          <t>Y-A4-专线</t>
        </is>
      </c>
      <c r="D295" s="1" t="inlineStr">
        <is>
          <t>义乌</t>
        </is>
      </c>
      <c r="E295" s="1" t="inlineStr">
        <is>
          <t>POC1</t>
        </is>
      </c>
      <c r="F295" s="134" t="n">
        <v>8.48</v>
      </c>
      <c r="G295" s="1" t="inlineStr">
        <is>
          <t>RMB/KG</t>
        </is>
      </c>
      <c r="H295" s="134" t="n">
        <v>0</v>
      </c>
      <c r="I295" s="1" t="inlineStr">
        <is>
          <t>2026-10-26</t>
        </is>
      </c>
      <c r="J295" s="1" t="inlineStr">
        <is>
          <t>凯琦FBA报价_当期.xlsx</t>
        </is>
      </c>
    </row>
    <row r="296">
      <c r="A296" s="1" t="inlineStr">
        <is>
          <t>美西普船</t>
        </is>
      </c>
      <c r="B296" s="1" t="inlineStr">
        <is>
          <t>美西普船</t>
        </is>
      </c>
      <c r="C296" s="1" t="inlineStr">
        <is>
          <t>Y-A4-专线</t>
        </is>
      </c>
      <c r="D296" s="1" t="inlineStr">
        <is>
          <t>义乌</t>
        </is>
      </c>
      <c r="E296" s="1" t="inlineStr">
        <is>
          <t>POC2</t>
        </is>
      </c>
      <c r="F296" s="134" t="n">
        <v>8.279999999999999</v>
      </c>
      <c r="G296" s="1" t="inlineStr">
        <is>
          <t>RMB/KG</t>
        </is>
      </c>
      <c r="H296" s="134" t="n">
        <v>0</v>
      </c>
      <c r="I296" s="1" t="inlineStr">
        <is>
          <t>2026-10-26</t>
        </is>
      </c>
      <c r="J296" s="1" t="inlineStr">
        <is>
          <t>凯琦FBA报价_当期.xlsx</t>
        </is>
      </c>
    </row>
    <row r="297">
      <c r="A297" s="1" t="inlineStr">
        <is>
          <t>美西普船</t>
        </is>
      </c>
      <c r="B297" s="1" t="inlineStr">
        <is>
          <t>美西普船</t>
        </is>
      </c>
      <c r="C297" s="1" t="inlineStr">
        <is>
          <t>Y-A4-专线</t>
        </is>
      </c>
      <c r="D297" s="1" t="inlineStr">
        <is>
          <t>义乌</t>
        </is>
      </c>
      <c r="E297" s="1" t="inlineStr">
        <is>
          <t>POC3</t>
        </is>
      </c>
      <c r="F297" s="134" t="n">
        <v>8.279999999999999</v>
      </c>
      <c r="G297" s="1" t="inlineStr">
        <is>
          <t>RMB/KG</t>
        </is>
      </c>
      <c r="H297" s="134" t="n">
        <v>0</v>
      </c>
      <c r="I297" s="1" t="inlineStr">
        <is>
          <t>2026-10-26</t>
        </is>
      </c>
      <c r="J297" s="1" t="inlineStr">
        <is>
          <t>凯琦FBA报价_当期.xlsx</t>
        </is>
      </c>
    </row>
    <row r="298">
      <c r="A298" s="1" t="inlineStr">
        <is>
          <t>美西普船</t>
        </is>
      </c>
      <c r="B298" s="1" t="inlineStr">
        <is>
          <t>美西普船</t>
        </is>
      </c>
      <c r="C298" s="1" t="inlineStr">
        <is>
          <t>Y-A4-专线</t>
        </is>
      </c>
      <c r="D298" s="1" t="inlineStr">
        <is>
          <t>义乌</t>
        </is>
      </c>
      <c r="E298" s="1" t="inlineStr">
        <is>
          <t>XLX7</t>
        </is>
      </c>
      <c r="F298" s="134" t="n">
        <v>8.68</v>
      </c>
      <c r="G298" s="1" t="inlineStr">
        <is>
          <t>RMB/KG</t>
        </is>
      </c>
      <c r="H298" s="134" t="n">
        <v>0</v>
      </c>
      <c r="I298" s="1" t="inlineStr">
        <is>
          <t>2026-10-26</t>
        </is>
      </c>
      <c r="J298" s="1" t="inlineStr">
        <is>
          <t>凯琦FBA报价_当期.xlsx</t>
        </is>
      </c>
    </row>
    <row r="299">
      <c r="A299" s="1" t="inlineStr">
        <is>
          <t>美西普船</t>
        </is>
      </c>
      <c r="B299" s="1" t="inlineStr">
        <is>
          <t>美西普船</t>
        </is>
      </c>
      <c r="C299" s="1" t="inlineStr">
        <is>
          <t>Y-A4-专线</t>
        </is>
      </c>
      <c r="D299" s="1" t="inlineStr">
        <is>
          <t>义乌</t>
        </is>
      </c>
      <c r="E299" s="1" t="inlineStr">
        <is>
          <t>IUSP</t>
        </is>
      </c>
      <c r="F299" s="134" t="n">
        <v>8.58</v>
      </c>
      <c r="G299" s="1" t="inlineStr">
        <is>
          <t>RMB/KG</t>
        </is>
      </c>
      <c r="H299" s="134" t="n">
        <v>0</v>
      </c>
      <c r="I299" s="1" t="inlineStr">
        <is>
          <t>2026-10-26</t>
        </is>
      </c>
      <c r="J299" s="1" t="inlineStr">
        <is>
          <t>凯琦FBA报价_当期.xlsx</t>
        </is>
      </c>
    </row>
    <row r="300">
      <c r="A300" s="1" t="inlineStr">
        <is>
          <t>美西普船</t>
        </is>
      </c>
      <c r="B300" s="1" t="inlineStr">
        <is>
          <t>美西普船</t>
        </is>
      </c>
      <c r="C300" s="1" t="inlineStr">
        <is>
          <t>Y-A4-专线</t>
        </is>
      </c>
      <c r="D300" s="1" t="inlineStr">
        <is>
          <t>义乌</t>
        </is>
      </c>
      <c r="E300" s="1" t="inlineStr">
        <is>
          <t>IUSJ</t>
        </is>
      </c>
      <c r="F300" s="134" t="n">
        <v>8.58</v>
      </c>
      <c r="G300" s="1" t="inlineStr">
        <is>
          <t>RMB/KG</t>
        </is>
      </c>
      <c r="H300" s="134" t="n">
        <v>0</v>
      </c>
      <c r="I300" s="1" t="inlineStr">
        <is>
          <t>2026-10-26</t>
        </is>
      </c>
      <c r="J300" s="1" t="inlineStr">
        <is>
          <t>凯琦FBA报价_当期.xlsx</t>
        </is>
      </c>
    </row>
    <row r="301">
      <c r="A301" s="1" t="inlineStr">
        <is>
          <t>美西普船</t>
        </is>
      </c>
      <c r="B301" s="1" t="inlineStr">
        <is>
          <t>美西普船</t>
        </is>
      </c>
      <c r="C301" s="1" t="inlineStr">
        <is>
          <t>Y-A4-专线</t>
        </is>
      </c>
      <c r="D301" s="1" t="inlineStr">
        <is>
          <t>义乌</t>
        </is>
      </c>
      <c r="E301" s="1" t="inlineStr">
        <is>
          <t>LAS1</t>
        </is>
      </c>
      <c r="F301" s="134" t="n">
        <v>9.380000000000001</v>
      </c>
      <c r="G301" s="1" t="inlineStr">
        <is>
          <t>RMB/KG</t>
        </is>
      </c>
      <c r="H301" s="134" t="n">
        <v>0</v>
      </c>
      <c r="I301" s="1" t="inlineStr">
        <is>
          <t>2026-10-26</t>
        </is>
      </c>
      <c r="J301" s="1" t="inlineStr">
        <is>
          <t>凯琦FBA报价_当期.xlsx</t>
        </is>
      </c>
    </row>
    <row r="302">
      <c r="A302" s="1" t="inlineStr">
        <is>
          <t>美西普船</t>
        </is>
      </c>
      <c r="B302" s="1" t="inlineStr">
        <is>
          <t>美西普船</t>
        </is>
      </c>
      <c r="C302" s="1" t="inlineStr">
        <is>
          <t>Y-A4-专线</t>
        </is>
      </c>
      <c r="D302" s="1" t="inlineStr">
        <is>
          <t>义乌</t>
        </is>
      </c>
      <c r="E302" s="1" t="inlineStr">
        <is>
          <t>GYR2</t>
        </is>
      </c>
      <c r="F302" s="134" t="n">
        <v>9.08</v>
      </c>
      <c r="G302" s="1" t="inlineStr">
        <is>
          <t>RMB/KG</t>
        </is>
      </c>
      <c r="H302" s="134" t="n">
        <v>0</v>
      </c>
      <c r="I302" s="1" t="inlineStr">
        <is>
          <t>2026-10-26</t>
        </is>
      </c>
      <c r="J302" s="1" t="inlineStr">
        <is>
          <t>凯琦FBA报价_当期.xlsx</t>
        </is>
      </c>
    </row>
    <row r="303">
      <c r="A303" s="1" t="inlineStr">
        <is>
          <t>美西普船</t>
        </is>
      </c>
      <c r="B303" s="1" t="inlineStr">
        <is>
          <t>美西普船</t>
        </is>
      </c>
      <c r="C303" s="1" t="inlineStr">
        <is>
          <t>Y-A4-专线</t>
        </is>
      </c>
      <c r="D303" s="1" t="inlineStr">
        <is>
          <t>义乌</t>
        </is>
      </c>
      <c r="E303" s="1" t="inlineStr">
        <is>
          <t>GYR3</t>
        </is>
      </c>
      <c r="F303" s="134" t="n">
        <v>9.08</v>
      </c>
      <c r="G303" s="1" t="inlineStr">
        <is>
          <t>RMB/KG</t>
        </is>
      </c>
      <c r="H303" s="134" t="n">
        <v>0</v>
      </c>
      <c r="I303" s="1" t="inlineStr">
        <is>
          <t>2026-10-26</t>
        </is>
      </c>
      <c r="J303" s="1" t="inlineStr">
        <is>
          <t>凯琦FBA报价_当期.xlsx</t>
        </is>
      </c>
    </row>
    <row r="304">
      <c r="A304" s="1" t="inlineStr">
        <is>
          <t>美西普船</t>
        </is>
      </c>
      <c r="B304" s="1" t="inlineStr">
        <is>
          <t>美西普船</t>
        </is>
      </c>
      <c r="C304" s="1" t="inlineStr">
        <is>
          <t>Y-A4-专线</t>
        </is>
      </c>
      <c r="D304" s="1" t="inlineStr">
        <is>
          <t>义乌</t>
        </is>
      </c>
      <c r="E304" s="1" t="inlineStr">
        <is>
          <t>VGT2</t>
        </is>
      </c>
      <c r="F304" s="134" t="n">
        <v>9.08</v>
      </c>
      <c r="G304" s="1" t="inlineStr">
        <is>
          <t>RMB/KG</t>
        </is>
      </c>
      <c r="H304" s="134" t="n">
        <v>0</v>
      </c>
      <c r="I304" s="1" t="inlineStr">
        <is>
          <t>2026-10-26</t>
        </is>
      </c>
      <c r="J304" s="1" t="inlineStr">
        <is>
          <t>凯琦FBA报价_当期.xlsx</t>
        </is>
      </c>
    </row>
    <row r="305">
      <c r="A305" s="1" t="inlineStr">
        <is>
          <t>美西普船</t>
        </is>
      </c>
      <c r="B305" s="1" t="inlineStr">
        <is>
          <t>美西普船</t>
        </is>
      </c>
      <c r="C305" s="1" t="inlineStr">
        <is>
          <t>Y-A4-专线</t>
        </is>
      </c>
      <c r="D305" s="1" t="inlineStr">
        <is>
          <t>义乌</t>
        </is>
      </c>
      <c r="E305" s="1" t="inlineStr">
        <is>
          <t>GEU3</t>
        </is>
      </c>
      <c r="F305" s="134" t="n">
        <v>9.08</v>
      </c>
      <c r="G305" s="1" t="inlineStr">
        <is>
          <t>RMB/KG</t>
        </is>
      </c>
      <c r="H305" s="134" t="n">
        <v>0</v>
      </c>
      <c r="I305" s="1" t="inlineStr">
        <is>
          <t>2026-10-26</t>
        </is>
      </c>
      <c r="J305" s="1" t="inlineStr">
        <is>
          <t>凯琦FBA报价_当期.xlsx</t>
        </is>
      </c>
    </row>
    <row r="306">
      <c r="A306" s="1" t="inlineStr">
        <is>
          <t>美西普船</t>
        </is>
      </c>
      <c r="B306" s="1" t="inlineStr">
        <is>
          <t>美西普船</t>
        </is>
      </c>
      <c r="C306" s="1" t="inlineStr">
        <is>
          <t>Y-A4-专线</t>
        </is>
      </c>
      <c r="D306" s="1" t="inlineStr">
        <is>
          <t>义乌</t>
        </is>
      </c>
      <c r="E306" s="1" t="inlineStr">
        <is>
          <t>HLI2</t>
        </is>
      </c>
      <c r="F306" s="134" t="n">
        <v>9.279999999999999</v>
      </c>
      <c r="G306" s="1" t="inlineStr">
        <is>
          <t>RMB/KG</t>
        </is>
      </c>
      <c r="H306" s="134" t="n">
        <v>0</v>
      </c>
      <c r="I306" s="1" t="inlineStr">
        <is>
          <t>2026-10-26</t>
        </is>
      </c>
      <c r="J306" s="1" t="inlineStr">
        <is>
          <t>凯琦FBA报价_当期.xlsx</t>
        </is>
      </c>
    </row>
    <row r="307">
      <c r="A307" s="1" t="inlineStr">
        <is>
          <t>美西普船</t>
        </is>
      </c>
      <c r="B307" s="1" t="inlineStr">
        <is>
          <t>美西普船</t>
        </is>
      </c>
      <c r="C307" s="1" t="inlineStr">
        <is>
          <t>Y-A4-专线</t>
        </is>
      </c>
      <c r="D307" s="1" t="inlineStr">
        <is>
          <t>义乌</t>
        </is>
      </c>
      <c r="E307" s="1" t="inlineStr">
        <is>
          <t>MIT2</t>
        </is>
      </c>
      <c r="F307" s="134" t="n">
        <v>8.98</v>
      </c>
      <c r="G307" s="1" t="inlineStr">
        <is>
          <t>RMB/KG</t>
        </is>
      </c>
      <c r="H307" s="134" t="n">
        <v>0</v>
      </c>
      <c r="I307" s="1" t="inlineStr">
        <is>
          <t>2026-10-26</t>
        </is>
      </c>
      <c r="J307" s="1" t="inlineStr">
        <is>
          <t>凯琦FBA报价_当期.xlsx</t>
        </is>
      </c>
    </row>
    <row r="308">
      <c r="A308" s="1" t="inlineStr">
        <is>
          <t>美西普船</t>
        </is>
      </c>
      <c r="B308" s="1" t="inlineStr">
        <is>
          <t>美西普船</t>
        </is>
      </c>
      <c r="C308" s="1" t="inlineStr">
        <is>
          <t>Y-A4-专线</t>
        </is>
      </c>
      <c r="D308" s="1" t="inlineStr">
        <is>
          <t>义乌</t>
        </is>
      </c>
      <c r="E308" s="1" t="inlineStr">
        <is>
          <t>GEU2</t>
        </is>
      </c>
      <c r="F308" s="134" t="n">
        <v>9.08</v>
      </c>
      <c r="G308" s="1" t="inlineStr">
        <is>
          <t>RMB/KG</t>
        </is>
      </c>
      <c r="H308" s="134" t="n">
        <v>0</v>
      </c>
      <c r="I308" s="1" t="inlineStr">
        <is>
          <t>2026-10-26</t>
        </is>
      </c>
      <c r="J308" s="1" t="inlineStr">
        <is>
          <t>凯琦FBA报价_当期.xlsx</t>
        </is>
      </c>
    </row>
    <row r="309">
      <c r="A309" s="1" t="inlineStr">
        <is>
          <t>美西普船</t>
        </is>
      </c>
      <c r="B309" s="1" t="inlineStr">
        <is>
          <t>美西普船</t>
        </is>
      </c>
      <c r="C309" s="1" t="inlineStr">
        <is>
          <t>Y-A4-专线</t>
        </is>
      </c>
      <c r="D309" s="1" t="inlineStr">
        <is>
          <t>义乌</t>
        </is>
      </c>
      <c r="E309" s="1" t="inlineStr">
        <is>
          <t>SMF3</t>
        </is>
      </c>
      <c r="F309" s="134" t="n">
        <v>9.279999999999999</v>
      </c>
      <c r="G309" s="1" t="inlineStr">
        <is>
          <t>RMB/KG</t>
        </is>
      </c>
      <c r="H309" s="134" t="n">
        <v>0</v>
      </c>
      <c r="I309" s="1" t="inlineStr">
        <is>
          <t>2026-10-26</t>
        </is>
      </c>
      <c r="J309" s="1" t="inlineStr">
        <is>
          <t>凯琦FBA报价_当期.xlsx</t>
        </is>
      </c>
    </row>
    <row r="310">
      <c r="A310" s="1" t="inlineStr">
        <is>
          <t>美西普船</t>
        </is>
      </c>
      <c r="B310" s="1" t="inlineStr">
        <is>
          <t>美西普船</t>
        </is>
      </c>
      <c r="C310" s="1" t="inlineStr">
        <is>
          <t>Y-A4-专线</t>
        </is>
      </c>
      <c r="D310" s="1" t="inlineStr">
        <is>
          <t>义乌</t>
        </is>
      </c>
      <c r="E310" s="1" t="inlineStr">
        <is>
          <t>SCK8</t>
        </is>
      </c>
      <c r="F310" s="134" t="n">
        <v>9.380000000000001</v>
      </c>
      <c r="G310" s="1" t="inlineStr">
        <is>
          <t>RMB/KG</t>
        </is>
      </c>
      <c r="H310" s="134" t="n">
        <v>0</v>
      </c>
      <c r="I310" s="1" t="inlineStr">
        <is>
          <t>2026-10-26</t>
        </is>
      </c>
      <c r="J310" s="1" t="inlineStr">
        <is>
          <t>凯琦FBA报价_当期.xlsx</t>
        </is>
      </c>
    </row>
    <row r="311">
      <c r="A311" s="1" t="inlineStr">
        <is>
          <t>美西普船</t>
        </is>
      </c>
      <c r="B311" s="1" t="inlineStr">
        <is>
          <t>美西普船</t>
        </is>
      </c>
      <c r="C311" s="1" t="inlineStr">
        <is>
          <t>Y-A4-专线</t>
        </is>
      </c>
      <c r="D311" s="1" t="inlineStr">
        <is>
          <t>义乌</t>
        </is>
      </c>
      <c r="E311" s="1" t="inlineStr">
        <is>
          <t>SCK4</t>
        </is>
      </c>
      <c r="F311" s="134" t="n">
        <v>9.279999999999999</v>
      </c>
      <c r="G311" s="1" t="inlineStr">
        <is>
          <t>RMB/KG</t>
        </is>
      </c>
      <c r="H311" s="134" t="n">
        <v>0</v>
      </c>
      <c r="I311" s="1" t="inlineStr">
        <is>
          <t>2026-10-26</t>
        </is>
      </c>
      <c r="J311" s="1" t="inlineStr">
        <is>
          <t>凯琦FBA报价_当期.xlsx</t>
        </is>
      </c>
    </row>
    <row r="312">
      <c r="A312" s="1" t="inlineStr">
        <is>
          <t>美西普船</t>
        </is>
      </c>
      <c r="B312" s="1" t="inlineStr">
        <is>
          <t>美西普船</t>
        </is>
      </c>
      <c r="C312" s="1" t="inlineStr">
        <is>
          <t>Y-A4-专线</t>
        </is>
      </c>
      <c r="D312" s="1" t="inlineStr">
        <is>
          <t>义乌</t>
        </is>
      </c>
      <c r="E312" s="1" t="inlineStr">
        <is>
          <t>TCY1</t>
        </is>
      </c>
      <c r="F312" s="134" t="n">
        <v>9.279999999999999</v>
      </c>
      <c r="G312" s="1" t="inlineStr">
        <is>
          <t>RMB/KG</t>
        </is>
      </c>
      <c r="H312" s="134" t="n">
        <v>0</v>
      </c>
      <c r="I312" s="1" t="inlineStr">
        <is>
          <t>2026-10-26</t>
        </is>
      </c>
      <c r="J312" s="1" t="inlineStr">
        <is>
          <t>凯琦FBA报价_当期.xlsx</t>
        </is>
      </c>
    </row>
    <row r="313">
      <c r="A313" s="1" t="inlineStr">
        <is>
          <t>美西普船</t>
        </is>
      </c>
      <c r="B313" s="1" t="inlineStr">
        <is>
          <t>美西普船</t>
        </is>
      </c>
      <c r="C313" s="1" t="inlineStr">
        <is>
          <t>Y-A4-专线</t>
        </is>
      </c>
      <c r="D313" s="1" t="inlineStr">
        <is>
          <t>义乌</t>
        </is>
      </c>
      <c r="E313" s="1" t="inlineStr">
        <is>
          <t>TCY2</t>
        </is>
      </c>
      <c r="F313" s="134" t="n">
        <v>9.279999999999999</v>
      </c>
      <c r="G313" s="1" t="inlineStr">
        <is>
          <t>RMB/KG</t>
        </is>
      </c>
      <c r="H313" s="134" t="n">
        <v>0</v>
      </c>
      <c r="I313" s="1" t="inlineStr">
        <is>
          <t>2026-10-26</t>
        </is>
      </c>
      <c r="J313" s="1" t="inlineStr">
        <is>
          <t>凯琦FBA报价_当期.xlsx</t>
        </is>
      </c>
    </row>
    <row r="314">
      <c r="A314" s="1" t="inlineStr">
        <is>
          <t>美西普船</t>
        </is>
      </c>
      <c r="B314" s="1" t="inlineStr">
        <is>
          <t>美西普船</t>
        </is>
      </c>
      <c r="C314" s="1" t="inlineStr">
        <is>
          <t>Y-A4-专线</t>
        </is>
      </c>
      <c r="D314" s="1" t="inlineStr">
        <is>
          <t>义乌</t>
        </is>
      </c>
      <c r="E314" s="1" t="inlineStr">
        <is>
          <t>QXY8</t>
        </is>
      </c>
      <c r="F314" s="134" t="n">
        <v>9.380000000000001</v>
      </c>
      <c r="G314" s="1" t="inlineStr">
        <is>
          <t>RMB/KG</t>
        </is>
      </c>
      <c r="H314" s="134" t="n">
        <v>0</v>
      </c>
      <c r="I314" s="1" t="inlineStr">
        <is>
          <t>2026-10-26</t>
        </is>
      </c>
      <c r="J314" s="1" t="inlineStr">
        <is>
          <t>凯琦FBA报价_当期.xlsx</t>
        </is>
      </c>
    </row>
    <row r="315">
      <c r="A315" s="1" t="inlineStr">
        <is>
          <t>美西普船</t>
        </is>
      </c>
      <c r="B315" s="1" t="inlineStr">
        <is>
          <t>美西普船</t>
        </is>
      </c>
      <c r="C315" s="1" t="inlineStr">
        <is>
          <t>Y-A4-专线</t>
        </is>
      </c>
      <c r="D315" s="1" t="inlineStr">
        <is>
          <t>义乌</t>
        </is>
      </c>
      <c r="E315" s="1" t="inlineStr">
        <is>
          <t>MDW2</t>
        </is>
      </c>
      <c r="F315" s="134" t="n">
        <v>12.48</v>
      </c>
      <c r="G315" s="1" t="inlineStr">
        <is>
          <t>RMB/KG</t>
        </is>
      </c>
      <c r="H315" s="134" t="n">
        <v>0</v>
      </c>
      <c r="I315" s="1" t="inlineStr">
        <is>
          <t>2026-10-26</t>
        </is>
      </c>
      <c r="J315" s="1" t="inlineStr">
        <is>
          <t>凯琦FBA报价_当期.xlsx</t>
        </is>
      </c>
    </row>
    <row r="316">
      <c r="A316" s="1" t="inlineStr">
        <is>
          <t>美西普船</t>
        </is>
      </c>
      <c r="B316" s="1" t="inlineStr">
        <is>
          <t>美西普船</t>
        </is>
      </c>
      <c r="C316" s="1" t="inlineStr">
        <is>
          <t>Y-A4-专线</t>
        </is>
      </c>
      <c r="D316" s="1" t="inlineStr">
        <is>
          <t>义乌</t>
        </is>
      </c>
      <c r="E316" s="1" t="inlineStr">
        <is>
          <t>IND9</t>
        </is>
      </c>
      <c r="F316" s="134" t="n">
        <v>12.68</v>
      </c>
      <c r="G316" s="1" t="inlineStr">
        <is>
          <t>RMB/KG</t>
        </is>
      </c>
      <c r="H316" s="134" t="n">
        <v>0</v>
      </c>
      <c r="I316" s="1" t="inlineStr">
        <is>
          <t>2026-10-26</t>
        </is>
      </c>
      <c r="J316" s="1" t="inlineStr">
        <is>
          <t>凯琦FBA报价_当期.xlsx</t>
        </is>
      </c>
    </row>
    <row r="317">
      <c r="A317" s="1" t="inlineStr">
        <is>
          <t>美西普船</t>
        </is>
      </c>
      <c r="B317" s="1" t="inlineStr">
        <is>
          <t>美西普船</t>
        </is>
      </c>
      <c r="C317" s="1" t="inlineStr">
        <is>
          <t>Y-A4-专线</t>
        </is>
      </c>
      <c r="D317" s="1" t="inlineStr">
        <is>
          <t>义乌</t>
        </is>
      </c>
      <c r="E317" s="1" t="inlineStr">
        <is>
          <t>FWA4</t>
        </is>
      </c>
      <c r="F317" s="134" t="n">
        <v>12.48</v>
      </c>
      <c r="G317" s="1" t="inlineStr">
        <is>
          <t>RMB/KG</t>
        </is>
      </c>
      <c r="H317" s="134" t="n">
        <v>0</v>
      </c>
      <c r="I317" s="1" t="inlineStr">
        <is>
          <t>2026-10-26</t>
        </is>
      </c>
      <c r="J317" s="1" t="inlineStr">
        <is>
          <t>凯琦FBA报价_当期.xlsx</t>
        </is>
      </c>
    </row>
    <row r="318">
      <c r="A318" s="1" t="inlineStr">
        <is>
          <t>美西普船</t>
        </is>
      </c>
      <c r="B318" s="1" t="inlineStr">
        <is>
          <t>美西普船</t>
        </is>
      </c>
      <c r="C318" s="1" t="inlineStr">
        <is>
          <t>Y-A4-专线</t>
        </is>
      </c>
      <c r="D318" s="1" t="inlineStr">
        <is>
          <t>义乌</t>
        </is>
      </c>
      <c r="E318" s="1" t="inlineStr">
        <is>
          <t>MQJ1</t>
        </is>
      </c>
      <c r="F318" s="134" t="n">
        <v>12.68</v>
      </c>
      <c r="G318" s="1" t="inlineStr">
        <is>
          <t>RMB/KG</t>
        </is>
      </c>
      <c r="H318" s="134" t="n">
        <v>0</v>
      </c>
      <c r="I318" s="1" t="inlineStr">
        <is>
          <t>2026-10-26</t>
        </is>
      </c>
      <c r="J318" s="1" t="inlineStr">
        <is>
          <t>凯琦FBA报价_当期.xlsx</t>
        </is>
      </c>
    </row>
    <row r="319">
      <c r="A319" s="1" t="inlineStr">
        <is>
          <t>美西普船</t>
        </is>
      </c>
      <c r="B319" s="1" t="inlineStr">
        <is>
          <t>美西普船</t>
        </is>
      </c>
      <c r="C319" s="1" t="inlineStr">
        <is>
          <t>Y-A4-专线</t>
        </is>
      </c>
      <c r="D319" s="1" t="inlineStr">
        <is>
          <t>义乌</t>
        </is>
      </c>
      <c r="E319" s="1" t="inlineStr">
        <is>
          <t>MEM1</t>
        </is>
      </c>
      <c r="F319" s="134" t="n">
        <v>12.08</v>
      </c>
      <c r="G319" s="1" t="inlineStr">
        <is>
          <t>RMB/KG</t>
        </is>
      </c>
      <c r="H319" s="134" t="n">
        <v>0</v>
      </c>
      <c r="I319" s="1" t="inlineStr">
        <is>
          <t>2026-10-26</t>
        </is>
      </c>
      <c r="J319" s="1" t="inlineStr">
        <is>
          <t>凯琦FBA报价_当期.xlsx</t>
        </is>
      </c>
    </row>
    <row r="320">
      <c r="A320" s="1" t="inlineStr">
        <is>
          <t>美西普船</t>
        </is>
      </c>
      <c r="B320" s="1" t="inlineStr">
        <is>
          <t>美西普船</t>
        </is>
      </c>
      <c r="C320" s="1" t="inlineStr">
        <is>
          <t>Y-A4-专线</t>
        </is>
      </c>
      <c r="D320" s="1" t="inlineStr">
        <is>
          <t>义乌</t>
        </is>
      </c>
      <c r="E320" s="1" t="inlineStr">
        <is>
          <t>BJC1</t>
        </is>
      </c>
      <c r="F320" s="134" t="n">
        <v>11.78</v>
      </c>
      <c r="G320" s="1" t="inlineStr">
        <is>
          <t>RMB/KG</t>
        </is>
      </c>
      <c r="H320" s="134" t="n">
        <v>0</v>
      </c>
      <c r="I320" s="1" t="inlineStr">
        <is>
          <t>2026-10-26</t>
        </is>
      </c>
      <c r="J320" s="1" t="inlineStr">
        <is>
          <t>凯琦FBA报价_当期.xlsx</t>
        </is>
      </c>
    </row>
    <row r="321">
      <c r="A321" s="1" t="inlineStr">
        <is>
          <t>奥克兰</t>
        </is>
      </c>
      <c r="B321" s="1" t="inlineStr">
        <is>
          <t>奥克兰</t>
        </is>
      </c>
      <c r="C321" s="1" t="inlineStr">
        <is>
          <t>Y-奥克兰快船</t>
        </is>
      </c>
      <c r="D321" s="1" t="inlineStr">
        <is>
          <t>义乌</t>
        </is>
      </c>
      <c r="E321" s="1" t="inlineStr">
        <is>
          <t>SMF3</t>
        </is>
      </c>
      <c r="F321" s="134" t="n">
        <v>8.779999999999999</v>
      </c>
      <c r="G321" s="1" t="inlineStr">
        <is>
          <t>RMB/KG</t>
        </is>
      </c>
      <c r="H321" s="134" t="n">
        <v>0</v>
      </c>
      <c r="I321" s="1" t="inlineStr">
        <is>
          <t>2026-10-26</t>
        </is>
      </c>
      <c r="J321" s="1" t="inlineStr">
        <is>
          <t>凯琦FBA报价_当期.xlsx</t>
        </is>
      </c>
    </row>
    <row r="322">
      <c r="A322" s="1" t="inlineStr">
        <is>
          <t>奥克兰</t>
        </is>
      </c>
      <c r="B322" s="1" t="inlineStr">
        <is>
          <t>奥克兰</t>
        </is>
      </c>
      <c r="C322" s="1" t="inlineStr">
        <is>
          <t>Y-奥克兰快船</t>
        </is>
      </c>
      <c r="D322" s="1" t="inlineStr">
        <is>
          <t>义乌</t>
        </is>
      </c>
      <c r="E322" s="1" t="inlineStr">
        <is>
          <t>SCK4</t>
        </is>
      </c>
      <c r="F322" s="134" t="n">
        <v>8.779999999999999</v>
      </c>
      <c r="G322" s="1" t="inlineStr">
        <is>
          <t>RMB/KG</t>
        </is>
      </c>
      <c r="H322" s="134" t="n">
        <v>0</v>
      </c>
      <c r="I322" s="1" t="inlineStr">
        <is>
          <t>2026-10-26</t>
        </is>
      </c>
      <c r="J322" s="1" t="inlineStr">
        <is>
          <t>凯琦FBA报价_当期.xlsx</t>
        </is>
      </c>
    </row>
    <row r="323">
      <c r="A323" s="1" t="inlineStr">
        <is>
          <t>奥克兰</t>
        </is>
      </c>
      <c r="B323" s="1" t="inlineStr">
        <is>
          <t>奥克兰</t>
        </is>
      </c>
      <c r="C323" s="1" t="inlineStr">
        <is>
          <t>Y-奥克兰快船</t>
        </is>
      </c>
      <c r="D323" s="1" t="inlineStr">
        <is>
          <t>义乌</t>
        </is>
      </c>
      <c r="E323" s="1" t="inlineStr">
        <is>
          <t>SCK1</t>
        </is>
      </c>
      <c r="F323" s="134" t="n">
        <v>8.779999999999999</v>
      </c>
      <c r="G323" s="1" t="inlineStr">
        <is>
          <t>RMB/KG</t>
        </is>
      </c>
      <c r="H323" s="134" t="n">
        <v>0</v>
      </c>
      <c r="I323" s="1" t="inlineStr">
        <is>
          <t>2026-10-26</t>
        </is>
      </c>
      <c r="J323" s="1" t="inlineStr">
        <is>
          <t>凯琦FBA报价_当期.xlsx</t>
        </is>
      </c>
    </row>
    <row r="324">
      <c r="A324" s="1" t="inlineStr">
        <is>
          <t>奥克兰</t>
        </is>
      </c>
      <c r="B324" s="1" t="inlineStr">
        <is>
          <t>奥克兰</t>
        </is>
      </c>
      <c r="C324" s="1" t="inlineStr">
        <is>
          <t>Y-奥克兰快船</t>
        </is>
      </c>
      <c r="D324" s="1" t="inlineStr">
        <is>
          <t>义乌</t>
        </is>
      </c>
      <c r="E324" s="1" t="inlineStr">
        <is>
          <t>SCK3</t>
        </is>
      </c>
      <c r="F324" s="134" t="n">
        <v>8.779999999999999</v>
      </c>
      <c r="G324" s="1" t="inlineStr">
        <is>
          <t>RMB/KG</t>
        </is>
      </c>
      <c r="H324" s="134" t="n">
        <v>0</v>
      </c>
      <c r="I324" s="1" t="inlineStr">
        <is>
          <t>2026-10-26</t>
        </is>
      </c>
      <c r="J324" s="1" t="inlineStr">
        <is>
          <t>凯琦FBA报价_当期.xlsx</t>
        </is>
      </c>
    </row>
    <row r="325">
      <c r="A325" s="1" t="inlineStr">
        <is>
          <t>奥克兰</t>
        </is>
      </c>
      <c r="B325" s="1" t="inlineStr">
        <is>
          <t>奥克兰</t>
        </is>
      </c>
      <c r="C325" s="1" t="inlineStr">
        <is>
          <t>Y-奥克兰快船</t>
        </is>
      </c>
      <c r="D325" s="1" t="inlineStr">
        <is>
          <t>义乌</t>
        </is>
      </c>
      <c r="E325" s="1" t="inlineStr">
        <is>
          <t>OAK3</t>
        </is>
      </c>
      <c r="F325" s="134" t="n">
        <v>8.779999999999999</v>
      </c>
      <c r="G325" s="1" t="inlineStr">
        <is>
          <t>RMB/KG</t>
        </is>
      </c>
      <c r="H325" s="134" t="n">
        <v>0</v>
      </c>
      <c r="I325" s="1" t="inlineStr">
        <is>
          <t>2026-10-26</t>
        </is>
      </c>
      <c r="J325" s="1" t="inlineStr">
        <is>
          <t>凯琦FBA报价_当期.xlsx</t>
        </is>
      </c>
    </row>
    <row r="326">
      <c r="A326" s="1" t="inlineStr">
        <is>
          <t>奥克兰</t>
        </is>
      </c>
      <c r="B326" s="1" t="inlineStr">
        <is>
          <t>奥克兰</t>
        </is>
      </c>
      <c r="C326" s="1" t="inlineStr">
        <is>
          <t>Y-奥克兰快船</t>
        </is>
      </c>
      <c r="D326" s="1" t="inlineStr">
        <is>
          <t>义乌</t>
        </is>
      </c>
      <c r="E326" s="1" t="inlineStr">
        <is>
          <t>TCY1</t>
        </is>
      </c>
      <c r="F326" s="134" t="n">
        <v>8.779999999999999</v>
      </c>
      <c r="G326" s="1" t="inlineStr">
        <is>
          <t>RMB/KG</t>
        </is>
      </c>
      <c r="H326" s="134" t="n">
        <v>0</v>
      </c>
      <c r="I326" s="1" t="inlineStr">
        <is>
          <t>2026-10-26</t>
        </is>
      </c>
      <c r="J326" s="1" t="inlineStr">
        <is>
          <t>凯琦FBA报价_当期.xlsx</t>
        </is>
      </c>
    </row>
    <row r="327">
      <c r="A327" s="1" t="inlineStr">
        <is>
          <t>奥克兰</t>
        </is>
      </c>
      <c r="B327" s="1" t="inlineStr">
        <is>
          <t>奥克兰</t>
        </is>
      </c>
      <c r="C327" s="1" t="inlineStr">
        <is>
          <t>Y-奥克兰快船</t>
        </is>
      </c>
      <c r="D327" s="1" t="inlineStr">
        <is>
          <t>义乌</t>
        </is>
      </c>
      <c r="E327" s="1" t="inlineStr">
        <is>
          <t>TCY2</t>
        </is>
      </c>
      <c r="F327" s="134" t="n">
        <v>8.779999999999999</v>
      </c>
      <c r="G327" s="1" t="inlineStr">
        <is>
          <t>RMB/KG</t>
        </is>
      </c>
      <c r="H327" s="134" t="n">
        <v>0</v>
      </c>
      <c r="I327" s="1" t="inlineStr">
        <is>
          <t>2026-10-26</t>
        </is>
      </c>
      <c r="J327" s="1" t="inlineStr">
        <is>
          <t>凯琦FBA报价_当期.xlsx</t>
        </is>
      </c>
    </row>
    <row r="328">
      <c r="A328" s="1" t="inlineStr">
        <is>
          <t>奥克兰</t>
        </is>
      </c>
      <c r="B328" s="1" t="inlineStr">
        <is>
          <t>奥克兰</t>
        </is>
      </c>
      <c r="C328" s="1" t="inlineStr">
        <is>
          <t>Y-奥克兰快船</t>
        </is>
      </c>
      <c r="D328" s="1" t="inlineStr">
        <is>
          <t>义乌</t>
        </is>
      </c>
      <c r="E328" s="1" t="inlineStr">
        <is>
          <t>SCK8</t>
        </is>
      </c>
      <c r="F328" s="134" t="n">
        <v>8.98</v>
      </c>
      <c r="G328" s="1" t="inlineStr">
        <is>
          <t>RMB/KG</t>
        </is>
      </c>
      <c r="H328" s="134" t="n">
        <v>0</v>
      </c>
      <c r="I328" s="1" t="inlineStr">
        <is>
          <t>2026-10-26</t>
        </is>
      </c>
      <c r="J328" s="1" t="inlineStr">
        <is>
          <t>凯琦FBA报价_当期.xlsx</t>
        </is>
      </c>
    </row>
    <row r="329">
      <c r="A329" s="1" t="inlineStr">
        <is>
          <t>奥克兰</t>
        </is>
      </c>
      <c r="B329" s="1" t="inlineStr">
        <is>
          <t>奥克兰</t>
        </is>
      </c>
      <c r="C329" s="1" t="inlineStr">
        <is>
          <t>Y-奥克兰快船</t>
        </is>
      </c>
      <c r="D329" s="1" t="inlineStr">
        <is>
          <t>义乌</t>
        </is>
      </c>
      <c r="E329" s="1" t="inlineStr">
        <is>
          <t>ICA3</t>
        </is>
      </c>
      <c r="F329" s="134" t="n">
        <v>8.98</v>
      </c>
      <c r="G329" s="1" t="inlineStr">
        <is>
          <t>RMB/KG</t>
        </is>
      </c>
      <c r="H329" s="134" t="n">
        <v>0</v>
      </c>
      <c r="I329" s="1" t="inlineStr">
        <is>
          <t>2026-10-26</t>
        </is>
      </c>
      <c r="J329" s="1" t="inlineStr">
        <is>
          <t>凯琦FBA报价_当期.xlsx</t>
        </is>
      </c>
    </row>
    <row r="330">
      <c r="A330" s="1" t="inlineStr">
        <is>
          <t>奥克兰</t>
        </is>
      </c>
      <c r="B330" s="1" t="inlineStr">
        <is>
          <t>奥克兰</t>
        </is>
      </c>
      <c r="C330" s="1" t="inlineStr">
        <is>
          <t>Y-奥克兰快船</t>
        </is>
      </c>
      <c r="D330" s="1" t="inlineStr">
        <is>
          <t>义乌</t>
        </is>
      </c>
      <c r="E330" s="1" t="inlineStr">
        <is>
          <t>HLI2</t>
        </is>
      </c>
      <c r="F330" s="134" t="n">
        <v>9.18</v>
      </c>
      <c r="G330" s="1" t="inlineStr">
        <is>
          <t>RMB/KG</t>
        </is>
      </c>
      <c r="H330" s="134" t="n">
        <v>0</v>
      </c>
      <c r="I330" s="1" t="inlineStr">
        <is>
          <t>2026-10-26</t>
        </is>
      </c>
      <c r="J330" s="1" t="inlineStr">
        <is>
          <t>凯琦FBA报价_当期.xlsx</t>
        </is>
      </c>
    </row>
    <row r="331">
      <c r="A331" s="1" t="inlineStr">
        <is>
          <t>奥克兰</t>
        </is>
      </c>
      <c r="B331" s="1" t="inlineStr">
        <is>
          <t>奥克兰</t>
        </is>
      </c>
      <c r="C331" s="1" t="inlineStr">
        <is>
          <t>Y-奥克兰快船</t>
        </is>
      </c>
      <c r="D331" s="1" t="inlineStr">
        <is>
          <t>义乌</t>
        </is>
      </c>
      <c r="E331" s="1" t="inlineStr">
        <is>
          <t>MCE1</t>
        </is>
      </c>
      <c r="F331" s="134" t="n">
        <v>9.279999999999999</v>
      </c>
      <c r="G331" s="1" t="inlineStr">
        <is>
          <t>RMB/KG</t>
        </is>
      </c>
      <c r="H331" s="134" t="n">
        <v>0</v>
      </c>
      <c r="I331" s="1" t="inlineStr">
        <is>
          <t>2026-10-26</t>
        </is>
      </c>
      <c r="J331" s="1" t="inlineStr">
        <is>
          <t>凯琦FBA报价_当期.xlsx</t>
        </is>
      </c>
    </row>
    <row r="332">
      <c r="A332" s="1" t="inlineStr">
        <is>
          <t>奥克兰</t>
        </is>
      </c>
      <c r="B332" s="1" t="inlineStr">
        <is>
          <t>奥克兰</t>
        </is>
      </c>
      <c r="C332" s="1" t="inlineStr">
        <is>
          <t>Y-奥克兰快船</t>
        </is>
      </c>
      <c r="D332" s="1" t="inlineStr">
        <is>
          <t>义乌</t>
        </is>
      </c>
      <c r="E332" s="1" t="inlineStr">
        <is>
          <t>SMF1</t>
        </is>
      </c>
      <c r="F332" s="134" t="n">
        <v>9.18</v>
      </c>
      <c r="G332" s="1" t="inlineStr">
        <is>
          <t>RMB/KG</t>
        </is>
      </c>
      <c r="H332" s="134" t="n">
        <v>0</v>
      </c>
      <c r="I332" s="1" t="inlineStr">
        <is>
          <t>2026-10-26</t>
        </is>
      </c>
      <c r="J332" s="1" t="inlineStr">
        <is>
          <t>凯琦FBA报价_当期.xlsx</t>
        </is>
      </c>
    </row>
    <row r="333">
      <c r="A333" s="1" t="inlineStr">
        <is>
          <t>奥克兰</t>
        </is>
      </c>
      <c r="B333" s="1" t="inlineStr">
        <is>
          <t>奥克兰</t>
        </is>
      </c>
      <c r="C333" s="1" t="inlineStr">
        <is>
          <t>Y-奥克兰快船</t>
        </is>
      </c>
      <c r="D333" s="1" t="inlineStr">
        <is>
          <t>义乌</t>
        </is>
      </c>
      <c r="E333" s="1" t="inlineStr">
        <is>
          <t>SMF6</t>
        </is>
      </c>
      <c r="F333" s="134" t="n">
        <v>9.18</v>
      </c>
      <c r="G333" s="1" t="inlineStr">
        <is>
          <t>RMB/KG</t>
        </is>
      </c>
      <c r="H333" s="134" t="n">
        <v>0</v>
      </c>
      <c r="I333" s="1" t="inlineStr">
        <is>
          <t>2026-10-26</t>
        </is>
      </c>
      <c r="J333" s="1" t="inlineStr">
        <is>
          <t>凯琦FBA报价_当期.xlsx</t>
        </is>
      </c>
    </row>
    <row r="334">
      <c r="A334" s="1" t="inlineStr">
        <is>
          <t>奥克兰</t>
        </is>
      </c>
      <c r="B334" s="1" t="inlineStr">
        <is>
          <t>奥克兰</t>
        </is>
      </c>
      <c r="C334" s="1" t="inlineStr">
        <is>
          <t>Y-奥克兰快船</t>
        </is>
      </c>
      <c r="D334" s="1" t="inlineStr">
        <is>
          <t>义乌</t>
        </is>
      </c>
      <c r="E334" s="1" t="inlineStr">
        <is>
          <t>SMF7</t>
        </is>
      </c>
      <c r="F334" s="134" t="n">
        <v>9.279999999999999</v>
      </c>
      <c r="G334" s="1" t="inlineStr">
        <is>
          <t>RMB/KG</t>
        </is>
      </c>
      <c r="H334" s="134" t="n">
        <v>0</v>
      </c>
      <c r="I334" s="1" t="inlineStr">
        <is>
          <t>2026-10-26</t>
        </is>
      </c>
      <c r="J334" s="1" t="inlineStr">
        <is>
          <t>凯琦FBA报价_当期.xlsx</t>
        </is>
      </c>
    </row>
    <row r="335">
      <c r="A335" s="1" t="inlineStr">
        <is>
          <t>奥克兰</t>
        </is>
      </c>
      <c r="B335" s="1" t="inlineStr">
        <is>
          <t>奥克兰</t>
        </is>
      </c>
      <c r="C335" s="1" t="inlineStr">
        <is>
          <t>Y-奥克兰快船</t>
        </is>
      </c>
      <c r="D335" s="1" t="inlineStr">
        <is>
          <t>义乌</t>
        </is>
      </c>
      <c r="E335" s="1" t="inlineStr">
        <is>
          <t>MCC1</t>
        </is>
      </c>
      <c r="F335" s="134" t="n">
        <v>8.880000000000001</v>
      </c>
      <c r="G335" s="1" t="inlineStr">
        <is>
          <t>RMB/KG</t>
        </is>
      </c>
      <c r="H335" s="134" t="n">
        <v>0</v>
      </c>
      <c r="I335" s="1" t="inlineStr">
        <is>
          <t>2026-10-26</t>
        </is>
      </c>
      <c r="J335" s="1" t="inlineStr">
        <is>
          <t>凯琦FBA报价_当期.xlsx</t>
        </is>
      </c>
    </row>
    <row r="336">
      <c r="A336" s="1" t="inlineStr">
        <is>
          <t>奥克兰</t>
        </is>
      </c>
      <c r="B336" s="1" t="inlineStr">
        <is>
          <t>奥克兰</t>
        </is>
      </c>
      <c r="C336" s="1" t="inlineStr">
        <is>
          <t>Y-奥克兰快船</t>
        </is>
      </c>
      <c r="D336" s="1" t="inlineStr">
        <is>
          <t>义乌</t>
        </is>
      </c>
      <c r="E336" s="1" t="inlineStr">
        <is>
          <t>QXY8</t>
        </is>
      </c>
      <c r="F336" s="134" t="n">
        <v>9.18</v>
      </c>
      <c r="G336" s="1" t="inlineStr">
        <is>
          <t>RMB/KG</t>
        </is>
      </c>
      <c r="H336" s="134" t="n">
        <v>0</v>
      </c>
      <c r="I336" s="1" t="inlineStr">
        <is>
          <t>2026-10-26</t>
        </is>
      </c>
      <c r="J336" s="1" t="inlineStr">
        <is>
          <t>凯琦FBA报价_当期.xlsx</t>
        </is>
      </c>
    </row>
    <row r="337">
      <c r="A337" s="1" t="inlineStr">
        <is>
          <t>奥克兰</t>
        </is>
      </c>
      <c r="B337" s="1" t="inlineStr">
        <is>
          <t>奥克兰</t>
        </is>
      </c>
      <c r="C337" s="1" t="inlineStr">
        <is>
          <t>Y-奥克兰快船</t>
        </is>
      </c>
      <c r="D337" s="1" t="inlineStr">
        <is>
          <t>义乌</t>
        </is>
      </c>
      <c r="E337" s="1" t="inlineStr">
        <is>
          <t>BFI3</t>
        </is>
      </c>
      <c r="F337" s="134" t="n">
        <v>10.98</v>
      </c>
      <c r="G337" s="1" t="inlineStr">
        <is>
          <t>RMB/KG</t>
        </is>
      </c>
      <c r="H337" s="134" t="n">
        <v>0</v>
      </c>
      <c r="I337" s="1" t="inlineStr">
        <is>
          <t>2026-10-26</t>
        </is>
      </c>
      <c r="J337" s="1" t="inlineStr">
        <is>
          <t>凯琦FBA报价_当期.xlsx</t>
        </is>
      </c>
    </row>
    <row r="338">
      <c r="A338" s="1" t="inlineStr">
        <is>
          <t>奥克兰</t>
        </is>
      </c>
      <c r="B338" s="1" t="inlineStr">
        <is>
          <t>奥克兰</t>
        </is>
      </c>
      <c r="C338" s="1" t="inlineStr">
        <is>
          <t>Y-奥克兰快船</t>
        </is>
      </c>
      <c r="D338" s="1" t="inlineStr">
        <is>
          <t>义乌</t>
        </is>
      </c>
      <c r="E338" s="1" t="inlineStr">
        <is>
          <t>IWA6</t>
        </is>
      </c>
      <c r="F338" s="134" t="n">
        <v>10.98</v>
      </c>
      <c r="G338" s="1" t="inlineStr">
        <is>
          <t>RMB/KG</t>
        </is>
      </c>
      <c r="H338" s="134" t="n">
        <v>0</v>
      </c>
      <c r="I338" s="1" t="inlineStr">
        <is>
          <t>2026-10-26</t>
        </is>
      </c>
      <c r="J338" s="1" t="inlineStr">
        <is>
          <t>凯琦FBA报价_当期.xlsx</t>
        </is>
      </c>
    </row>
    <row r="339">
      <c r="A339" s="1" t="inlineStr">
        <is>
          <t>奥克兰</t>
        </is>
      </c>
      <c r="B339" s="1" t="inlineStr">
        <is>
          <t>奥克兰</t>
        </is>
      </c>
      <c r="C339" s="1" t="inlineStr">
        <is>
          <t>Y-奥克兰快船</t>
        </is>
      </c>
      <c r="D339" s="1" t="inlineStr">
        <is>
          <t>义乌</t>
        </is>
      </c>
      <c r="E339" s="1" t="inlineStr">
        <is>
          <t>GEG2</t>
        </is>
      </c>
      <c r="F339" s="134" t="n">
        <v>10.88</v>
      </c>
      <c r="G339" s="1" t="inlineStr">
        <is>
          <t>RMB/KG</t>
        </is>
      </c>
      <c r="H339" s="134" t="n">
        <v>0</v>
      </c>
      <c r="I339" s="1" t="inlineStr">
        <is>
          <t>2026-10-26</t>
        </is>
      </c>
      <c r="J339" s="1" t="inlineStr">
        <is>
          <t>凯琦FBA报价_当期.xlsx</t>
        </is>
      </c>
    </row>
    <row r="340">
      <c r="A340" s="1" t="inlineStr">
        <is>
          <t>休斯顿</t>
        </is>
      </c>
      <c r="B340" s="1" t="inlineStr">
        <is>
          <t>休斯顿</t>
        </is>
      </c>
      <c r="C340" s="1" t="inlineStr">
        <is>
          <t>Y-K13美中专线</t>
        </is>
      </c>
      <c r="D340" s="1" t="inlineStr">
        <is>
          <t>义乌</t>
        </is>
      </c>
      <c r="E340" s="1" t="inlineStr">
        <is>
          <t>HOU1</t>
        </is>
      </c>
      <c r="F340" s="134" t="n">
        <v>9.48</v>
      </c>
      <c r="G340" s="1" t="inlineStr">
        <is>
          <t>RMB/KG</t>
        </is>
      </c>
      <c r="H340" s="134" t="n">
        <v>0</v>
      </c>
      <c r="I340" s="1" t="inlineStr">
        <is>
          <t>2026-10-26</t>
        </is>
      </c>
      <c r="J340" s="1" t="inlineStr">
        <is>
          <t>凯琦FBA报价_当期.xlsx</t>
        </is>
      </c>
    </row>
    <row r="341">
      <c r="A341" s="1" t="inlineStr">
        <is>
          <t>休斯顿</t>
        </is>
      </c>
      <c r="B341" s="1" t="inlineStr">
        <is>
          <t>休斯顿</t>
        </is>
      </c>
      <c r="C341" s="1" t="inlineStr">
        <is>
          <t>Y-K13美中专线</t>
        </is>
      </c>
      <c r="D341" s="1" t="inlineStr">
        <is>
          <t>义乌</t>
        </is>
      </c>
      <c r="E341" s="1" t="inlineStr">
        <is>
          <t>HOU2</t>
        </is>
      </c>
      <c r="F341" s="134" t="n">
        <v>9.48</v>
      </c>
      <c r="G341" s="1" t="inlineStr">
        <is>
          <t>RMB/KG</t>
        </is>
      </c>
      <c r="H341" s="134" t="n">
        <v>0</v>
      </c>
      <c r="I341" s="1" t="inlineStr">
        <is>
          <t>2026-10-26</t>
        </is>
      </c>
      <c r="J341" s="1" t="inlineStr">
        <is>
          <t>凯琦FBA报价_当期.xlsx</t>
        </is>
      </c>
    </row>
    <row r="342">
      <c r="A342" s="1" t="inlineStr">
        <is>
          <t>休斯顿</t>
        </is>
      </c>
      <c r="B342" s="1" t="inlineStr">
        <is>
          <t>休斯顿</t>
        </is>
      </c>
      <c r="C342" s="1" t="inlineStr">
        <is>
          <t>Y-K13美中专线</t>
        </is>
      </c>
      <c r="D342" s="1" t="inlineStr">
        <is>
          <t>义乌</t>
        </is>
      </c>
      <c r="E342" s="1" t="inlineStr">
        <is>
          <t>HOU3</t>
        </is>
      </c>
      <c r="F342" s="134" t="n">
        <v>9.48</v>
      </c>
      <c r="G342" s="1" t="inlineStr">
        <is>
          <t>RMB/KG</t>
        </is>
      </c>
      <c r="H342" s="134" t="n">
        <v>0</v>
      </c>
      <c r="I342" s="1" t="inlineStr">
        <is>
          <t>2026-10-26</t>
        </is>
      </c>
      <c r="J342" s="1" t="inlineStr">
        <is>
          <t>凯琦FBA报价_当期.xlsx</t>
        </is>
      </c>
    </row>
    <row r="343">
      <c r="A343" s="1" t="inlineStr">
        <is>
          <t>休斯顿</t>
        </is>
      </c>
      <c r="B343" s="1" t="inlineStr">
        <is>
          <t>休斯顿</t>
        </is>
      </c>
      <c r="C343" s="1" t="inlineStr">
        <is>
          <t>Y-K13美中专线</t>
        </is>
      </c>
      <c r="D343" s="1" t="inlineStr">
        <is>
          <t>义乌</t>
        </is>
      </c>
      <c r="E343" s="1" t="inlineStr">
        <is>
          <t>HOU7</t>
        </is>
      </c>
      <c r="F343" s="134" t="n">
        <v>9.48</v>
      </c>
      <c r="G343" s="1" t="inlineStr">
        <is>
          <t>RMB/KG</t>
        </is>
      </c>
      <c r="H343" s="134" t="n">
        <v>0</v>
      </c>
      <c r="I343" s="1" t="inlineStr">
        <is>
          <t>2026-10-26</t>
        </is>
      </c>
      <c r="J343" s="1" t="inlineStr">
        <is>
          <t>凯琦FBA报价_当期.xlsx</t>
        </is>
      </c>
    </row>
    <row r="344">
      <c r="A344" s="1" t="inlineStr">
        <is>
          <t>休斯顿</t>
        </is>
      </c>
      <c r="B344" s="1" t="inlineStr">
        <is>
          <t>休斯顿</t>
        </is>
      </c>
      <c r="C344" s="1" t="inlineStr">
        <is>
          <t>Y-K13美中专线</t>
        </is>
      </c>
      <c r="D344" s="1" t="inlineStr">
        <is>
          <t>义乌</t>
        </is>
      </c>
      <c r="E344" s="1" t="inlineStr">
        <is>
          <t>HOU8</t>
        </is>
      </c>
      <c r="F344" s="134" t="n">
        <v>9.48</v>
      </c>
      <c r="G344" s="1" t="inlineStr">
        <is>
          <t>RMB/KG</t>
        </is>
      </c>
      <c r="H344" s="134" t="n">
        <v>0</v>
      </c>
      <c r="I344" s="1" t="inlineStr">
        <is>
          <t>2026-10-26</t>
        </is>
      </c>
      <c r="J344" s="1" t="inlineStr">
        <is>
          <t>凯琦FBA报价_当期.xlsx</t>
        </is>
      </c>
    </row>
    <row r="345">
      <c r="A345" s="1" t="inlineStr">
        <is>
          <t>休斯顿</t>
        </is>
      </c>
      <c r="B345" s="1" t="inlineStr">
        <is>
          <t>休斯顿</t>
        </is>
      </c>
      <c r="C345" s="1" t="inlineStr">
        <is>
          <t>Y-K13美中专线</t>
        </is>
      </c>
      <c r="D345" s="1" t="inlineStr">
        <is>
          <t>义乌</t>
        </is>
      </c>
      <c r="E345" s="1" t="inlineStr">
        <is>
          <t>IAH3</t>
        </is>
      </c>
      <c r="F345" s="134" t="n">
        <v>9.58</v>
      </c>
      <c r="G345" s="1" t="inlineStr">
        <is>
          <t>RMB/KG</t>
        </is>
      </c>
      <c r="H345" s="134" t="n">
        <v>0</v>
      </c>
      <c r="I345" s="1" t="inlineStr">
        <is>
          <t>2026-10-26</t>
        </is>
      </c>
      <c r="J345" s="1" t="inlineStr">
        <is>
          <t>凯琦FBA报价_当期.xlsx</t>
        </is>
      </c>
    </row>
    <row r="346">
      <c r="A346" s="1" t="inlineStr">
        <is>
          <t>休斯顿</t>
        </is>
      </c>
      <c r="B346" s="1" t="inlineStr">
        <is>
          <t>休斯顿</t>
        </is>
      </c>
      <c r="C346" s="1" t="inlineStr">
        <is>
          <t>Y-K13美中专线</t>
        </is>
      </c>
      <c r="D346" s="1" t="inlineStr">
        <is>
          <t>义乌</t>
        </is>
      </c>
      <c r="E346" s="1" t="inlineStr">
        <is>
          <t>FTW1</t>
        </is>
      </c>
      <c r="F346" s="134" t="n">
        <v>9.98</v>
      </c>
      <c r="G346" s="1" t="inlineStr">
        <is>
          <t>RMB/KG</t>
        </is>
      </c>
      <c r="H346" s="134" t="n">
        <v>0</v>
      </c>
      <c r="I346" s="1" t="inlineStr">
        <is>
          <t>2026-10-26</t>
        </is>
      </c>
      <c r="J346" s="1" t="inlineStr">
        <is>
          <t>凯琦FBA报价_当期.xlsx</t>
        </is>
      </c>
    </row>
    <row r="347">
      <c r="A347" s="1" t="inlineStr">
        <is>
          <t>休斯顿</t>
        </is>
      </c>
      <c r="B347" s="1" t="inlineStr">
        <is>
          <t>休斯顿</t>
        </is>
      </c>
      <c r="C347" s="1" t="inlineStr">
        <is>
          <t>Y-K13美中专线</t>
        </is>
      </c>
      <c r="D347" s="1" t="inlineStr">
        <is>
          <t>义乌</t>
        </is>
      </c>
      <c r="E347" s="1" t="inlineStr">
        <is>
          <t>SAT6</t>
        </is>
      </c>
      <c r="F347" s="134" t="n">
        <v>10.08</v>
      </c>
      <c r="G347" s="1" t="inlineStr">
        <is>
          <t>RMB/KG</t>
        </is>
      </c>
      <c r="H347" s="134" t="n">
        <v>0</v>
      </c>
      <c r="I347" s="1" t="inlineStr">
        <is>
          <t>2026-10-26</t>
        </is>
      </c>
      <c r="J347" s="1" t="inlineStr">
        <is>
          <t>凯琦FBA报价_当期.xlsx</t>
        </is>
      </c>
    </row>
    <row r="348">
      <c r="A348" s="1" t="inlineStr">
        <is>
          <t>休斯顿</t>
        </is>
      </c>
      <c r="B348" s="1" t="inlineStr">
        <is>
          <t>休斯顿</t>
        </is>
      </c>
      <c r="C348" s="1" t="inlineStr">
        <is>
          <t>Y-K13美中专线</t>
        </is>
      </c>
      <c r="D348" s="1" t="inlineStr">
        <is>
          <t>义乌</t>
        </is>
      </c>
      <c r="E348" s="1" t="inlineStr">
        <is>
          <t>SAT1</t>
        </is>
      </c>
      <c r="F348" s="134" t="n">
        <v>10.08</v>
      </c>
      <c r="G348" s="1" t="inlineStr">
        <is>
          <t>RMB/KG</t>
        </is>
      </c>
      <c r="H348" s="134" t="n">
        <v>0</v>
      </c>
      <c r="I348" s="1" t="inlineStr">
        <is>
          <t>2026-10-26</t>
        </is>
      </c>
      <c r="J348" s="1" t="inlineStr">
        <is>
          <t>凯琦FBA报价_当期.xlsx</t>
        </is>
      </c>
    </row>
    <row r="349">
      <c r="A349" s="1" t="inlineStr">
        <is>
          <t>休斯顿</t>
        </is>
      </c>
      <c r="B349" s="1" t="inlineStr">
        <is>
          <t>休斯顿</t>
        </is>
      </c>
      <c r="C349" s="1" t="inlineStr">
        <is>
          <t>Y-K13美中专线</t>
        </is>
      </c>
      <c r="D349" s="1" t="inlineStr">
        <is>
          <t>义乌</t>
        </is>
      </c>
      <c r="E349" s="1" t="inlineStr">
        <is>
          <t>DFW6</t>
        </is>
      </c>
      <c r="F349" s="134" t="n">
        <v>10.08</v>
      </c>
      <c r="G349" s="1" t="inlineStr">
        <is>
          <t>RMB/KG</t>
        </is>
      </c>
      <c r="H349" s="134" t="n">
        <v>0</v>
      </c>
      <c r="I349" s="1" t="inlineStr">
        <is>
          <t>2026-10-26</t>
        </is>
      </c>
      <c r="J349" s="1" t="inlineStr">
        <is>
          <t>凯琦FBA报价_当期.xlsx</t>
        </is>
      </c>
    </row>
    <row r="350">
      <c r="A350" s="1" t="inlineStr">
        <is>
          <t>休斯顿</t>
        </is>
      </c>
      <c r="B350" s="1" t="inlineStr">
        <is>
          <t>休斯顿</t>
        </is>
      </c>
      <c r="C350" s="1" t="inlineStr">
        <is>
          <t>Y-K13美中专线</t>
        </is>
      </c>
      <c r="D350" s="1" t="inlineStr">
        <is>
          <t>义乌</t>
        </is>
      </c>
      <c r="E350" s="1" t="inlineStr">
        <is>
          <t>FTW2</t>
        </is>
      </c>
      <c r="F350" s="134" t="n">
        <v>10.18</v>
      </c>
      <c r="G350" s="1" t="inlineStr">
        <is>
          <t>RMB/KG</t>
        </is>
      </c>
      <c r="H350" s="134" t="n">
        <v>0</v>
      </c>
      <c r="I350" s="1" t="inlineStr">
        <is>
          <t>2026-10-26</t>
        </is>
      </c>
      <c r="J350" s="1" t="inlineStr">
        <is>
          <t>凯琦FBA报价_当期.xlsx</t>
        </is>
      </c>
    </row>
    <row r="351">
      <c r="A351" s="1" t="inlineStr">
        <is>
          <t>休斯顿</t>
        </is>
      </c>
      <c r="B351" s="1" t="inlineStr">
        <is>
          <t>休斯顿</t>
        </is>
      </c>
      <c r="C351" s="1" t="inlineStr">
        <is>
          <t>Y-K13美中专线</t>
        </is>
      </c>
      <c r="D351" s="1" t="inlineStr">
        <is>
          <t>义乌</t>
        </is>
      </c>
      <c r="E351" s="1" t="inlineStr">
        <is>
          <t>FTW5</t>
        </is>
      </c>
      <c r="F351" s="134" t="n">
        <v>10.08</v>
      </c>
      <c r="G351" s="1" t="inlineStr">
        <is>
          <t>RMB/KG</t>
        </is>
      </c>
      <c r="H351" s="134" t="n">
        <v>0</v>
      </c>
      <c r="I351" s="1" t="inlineStr">
        <is>
          <t>2026-10-26</t>
        </is>
      </c>
      <c r="J351" s="1" t="inlineStr">
        <is>
          <t>凯琦FBA报价_当期.xlsx</t>
        </is>
      </c>
    </row>
    <row r="352">
      <c r="A352" s="1" t="inlineStr">
        <is>
          <t>休斯顿</t>
        </is>
      </c>
      <c r="B352" s="1" t="inlineStr">
        <is>
          <t>休斯顿</t>
        </is>
      </c>
      <c r="C352" s="1" t="inlineStr">
        <is>
          <t>Y-K13美中专线</t>
        </is>
      </c>
      <c r="D352" s="1" t="inlineStr">
        <is>
          <t>义乌</t>
        </is>
      </c>
      <c r="E352" s="1" t="inlineStr">
        <is>
          <t>FTW9</t>
        </is>
      </c>
      <c r="F352" s="134" t="n">
        <v>10.18</v>
      </c>
      <c r="G352" s="1" t="inlineStr">
        <is>
          <t>RMB/KG</t>
        </is>
      </c>
      <c r="H352" s="134" t="n">
        <v>0</v>
      </c>
      <c r="I352" s="1" t="inlineStr">
        <is>
          <t>2026-10-26</t>
        </is>
      </c>
      <c r="J352" s="1" t="inlineStr">
        <is>
          <t>凯琦FBA报价_当期.xlsx</t>
        </is>
      </c>
    </row>
    <row r="353">
      <c r="A353" s="1" t="inlineStr">
        <is>
          <t>休斯顿</t>
        </is>
      </c>
      <c r="B353" s="1" t="inlineStr">
        <is>
          <t>休斯顿</t>
        </is>
      </c>
      <c r="C353" s="1" t="inlineStr">
        <is>
          <t>Y-K13美中专线</t>
        </is>
      </c>
      <c r="D353" s="1" t="inlineStr">
        <is>
          <t>义乌</t>
        </is>
      </c>
      <c r="E353" s="1" t="inlineStr">
        <is>
          <t>SAT4</t>
        </is>
      </c>
      <c r="F353" s="134" t="n">
        <v>10.18</v>
      </c>
      <c r="G353" s="1" t="inlineStr">
        <is>
          <t>RMB/KG</t>
        </is>
      </c>
      <c r="H353" s="134" t="n">
        <v>0</v>
      </c>
      <c r="I353" s="1" t="inlineStr">
        <is>
          <t>2026-10-26</t>
        </is>
      </c>
      <c r="J353" s="1" t="inlineStr">
        <is>
          <t>凯琦FBA报价_当期.xlsx</t>
        </is>
      </c>
    </row>
    <row r="354">
      <c r="A354" s="1" t="inlineStr">
        <is>
          <t>休斯顿</t>
        </is>
      </c>
      <c r="B354" s="1" t="inlineStr">
        <is>
          <t>休斯顿</t>
        </is>
      </c>
      <c r="C354" s="1" t="inlineStr">
        <is>
          <t>Y-K13美中专线</t>
        </is>
      </c>
      <c r="D354" s="1" t="inlineStr">
        <is>
          <t>义乌</t>
        </is>
      </c>
      <c r="E354" s="1" t="inlineStr">
        <is>
          <t>DFW7</t>
        </is>
      </c>
      <c r="F354" s="134" t="n">
        <v>10.18</v>
      </c>
      <c r="G354" s="1" t="inlineStr">
        <is>
          <t>RMB/KG</t>
        </is>
      </c>
      <c r="H354" s="134" t="n">
        <v>0</v>
      </c>
      <c r="I354" s="1" t="inlineStr">
        <is>
          <t>2026-10-26</t>
        </is>
      </c>
      <c r="J354" s="1" t="inlineStr">
        <is>
          <t>凯琦FBA报价_当期.xlsx</t>
        </is>
      </c>
    </row>
    <row r="355">
      <c r="A355" s="1" t="inlineStr">
        <is>
          <t>休斯顿</t>
        </is>
      </c>
      <c r="B355" s="1" t="inlineStr">
        <is>
          <t>休斯顿</t>
        </is>
      </c>
      <c r="C355" s="1" t="inlineStr">
        <is>
          <t>Y-K13美中专线</t>
        </is>
      </c>
      <c r="D355" s="1" t="inlineStr">
        <is>
          <t>义乌</t>
        </is>
      </c>
      <c r="E355" s="1" t="inlineStr">
        <is>
          <t>DAL3</t>
        </is>
      </c>
      <c r="F355" s="134" t="n">
        <v>10.18</v>
      </c>
      <c r="G355" s="1" t="inlineStr">
        <is>
          <t>RMB/KG</t>
        </is>
      </c>
      <c r="H355" s="134" t="n">
        <v>0</v>
      </c>
      <c r="I355" s="1" t="inlineStr">
        <is>
          <t>2026-10-26</t>
        </is>
      </c>
      <c r="J355" s="1" t="inlineStr">
        <is>
          <t>凯琦FBA报价_当期.xlsx</t>
        </is>
      </c>
    </row>
    <row r="356">
      <c r="A356" s="1" t="inlineStr">
        <is>
          <t>休斯顿</t>
        </is>
      </c>
      <c r="B356" s="1" t="inlineStr">
        <is>
          <t>休斯顿</t>
        </is>
      </c>
      <c r="C356" s="1" t="inlineStr">
        <is>
          <t>Y-K13美中专线</t>
        </is>
      </c>
      <c r="D356" s="1" t="inlineStr">
        <is>
          <t>义乌</t>
        </is>
      </c>
      <c r="E356" s="1" t="inlineStr">
        <is>
          <t>IUTH</t>
        </is>
      </c>
      <c r="F356" s="134" t="n">
        <v>10.18</v>
      </c>
      <c r="G356" s="1" t="inlineStr">
        <is>
          <t>RMB/KG</t>
        </is>
      </c>
      <c r="H356" s="134" t="n">
        <v>0</v>
      </c>
      <c r="I356" s="1" t="inlineStr">
        <is>
          <t>2026-10-26</t>
        </is>
      </c>
      <c r="J356" s="1" t="inlineStr">
        <is>
          <t>凯琦FBA报价_当期.xlsx</t>
        </is>
      </c>
    </row>
    <row r="357">
      <c r="A357" s="1" t="inlineStr">
        <is>
          <t>休斯顿</t>
        </is>
      </c>
      <c r="B357" s="1" t="inlineStr">
        <is>
          <t>休斯顿</t>
        </is>
      </c>
      <c r="C357" s="1" t="inlineStr">
        <is>
          <t>Y-K13美中专线</t>
        </is>
      </c>
      <c r="D357" s="1" t="inlineStr">
        <is>
          <t>义乌</t>
        </is>
      </c>
      <c r="E357" s="1" t="inlineStr">
        <is>
          <t>MEM8</t>
        </is>
      </c>
      <c r="F357" s="134" t="n">
        <v>10.68</v>
      </c>
      <c r="G357" s="1" t="inlineStr">
        <is>
          <t>RMB/KG</t>
        </is>
      </c>
      <c r="H357" s="134" t="n">
        <v>0</v>
      </c>
      <c r="I357" s="1" t="inlineStr">
        <is>
          <t>2026-10-26</t>
        </is>
      </c>
      <c r="J357" s="1" t="inlineStr">
        <is>
          <t>凯琦FBA报价_当期.xlsx</t>
        </is>
      </c>
    </row>
    <row r="358">
      <c r="A358" s="1" t="inlineStr">
        <is>
          <t>休斯顿</t>
        </is>
      </c>
      <c r="B358" s="1" t="inlineStr">
        <is>
          <t>休斯顿</t>
        </is>
      </c>
      <c r="C358" s="1" t="inlineStr">
        <is>
          <t>Y-K13美中专线</t>
        </is>
      </c>
      <c r="D358" s="1" t="inlineStr">
        <is>
          <t>义乌</t>
        </is>
      </c>
      <c r="E358" s="1" t="inlineStr">
        <is>
          <t>LFT1</t>
        </is>
      </c>
      <c r="F358" s="134" t="n">
        <v>10.78</v>
      </c>
      <c r="G358" s="1" t="inlineStr">
        <is>
          <t>RMB/KG</t>
        </is>
      </c>
      <c r="H358" s="134" t="n">
        <v>0</v>
      </c>
      <c r="I358" s="1" t="inlineStr">
        <is>
          <t>2026-10-26</t>
        </is>
      </c>
      <c r="J358" s="1" t="inlineStr">
        <is>
          <t>凯琦FBA报价_当期.xlsx</t>
        </is>
      </c>
    </row>
    <row r="359">
      <c r="A359" s="1" t="inlineStr">
        <is>
          <t>休斯顿</t>
        </is>
      </c>
      <c r="B359" s="1" t="inlineStr">
        <is>
          <t>休斯顿</t>
        </is>
      </c>
      <c r="C359" s="1" t="inlineStr">
        <is>
          <t>Y-K13美中专线</t>
        </is>
      </c>
      <c r="D359" s="1" t="inlineStr">
        <is>
          <t>义乌</t>
        </is>
      </c>
      <c r="E359" s="1" t="inlineStr">
        <is>
          <t>OKC2</t>
        </is>
      </c>
      <c r="F359" s="134" t="n">
        <v>10.78</v>
      </c>
      <c r="G359" s="1" t="inlineStr">
        <is>
          <t>RMB/KG</t>
        </is>
      </c>
      <c r="H359" s="134" t="n">
        <v>0</v>
      </c>
      <c r="I359" s="1" t="inlineStr">
        <is>
          <t>2026-10-26</t>
        </is>
      </c>
      <c r="J359" s="1" t="inlineStr">
        <is>
          <t>凯琦FBA报价_当期.xlsx</t>
        </is>
      </c>
    </row>
    <row r="360">
      <c r="A360" s="1" t="inlineStr">
        <is>
          <t>休斯顿</t>
        </is>
      </c>
      <c r="B360" s="1" t="inlineStr">
        <is>
          <t>休斯顿</t>
        </is>
      </c>
      <c r="C360" s="1" t="inlineStr">
        <is>
          <t>Y-K13美中专线</t>
        </is>
      </c>
      <c r="D360" s="1" t="inlineStr">
        <is>
          <t>义乌</t>
        </is>
      </c>
      <c r="E360" s="1" t="inlineStr">
        <is>
          <t>ICT2</t>
        </is>
      </c>
      <c r="F360" s="134" t="n">
        <v>10.78</v>
      </c>
      <c r="G360" s="1" t="inlineStr">
        <is>
          <t>RMB/KG</t>
        </is>
      </c>
      <c r="H360" s="134" t="n">
        <v>0</v>
      </c>
      <c r="I360" s="1" t="inlineStr">
        <is>
          <t>2026-10-26</t>
        </is>
      </c>
      <c r="J360" s="1" t="inlineStr">
        <is>
          <t>凯琦FBA报价_当期.xlsx</t>
        </is>
      </c>
    </row>
    <row r="361">
      <c r="A361" s="1" t="inlineStr">
        <is>
          <t>休斯顿</t>
        </is>
      </c>
      <c r="B361" s="1" t="inlineStr">
        <is>
          <t>休斯顿</t>
        </is>
      </c>
      <c r="C361" s="1" t="inlineStr">
        <is>
          <t>Y-K13美中专线</t>
        </is>
      </c>
      <c r="D361" s="1" t="inlineStr">
        <is>
          <t>义乌</t>
        </is>
      </c>
      <c r="E361" s="1" t="inlineStr">
        <is>
          <t>LIT2</t>
        </is>
      </c>
      <c r="F361" s="134" t="n">
        <v>10.78</v>
      </c>
      <c r="G361" s="1" t="inlineStr">
        <is>
          <t>RMB/KG</t>
        </is>
      </c>
      <c r="H361" s="134" t="n">
        <v>0</v>
      </c>
      <c r="I361" s="1" t="inlineStr">
        <is>
          <t>2026-10-26</t>
        </is>
      </c>
      <c r="J361" s="1" t="inlineStr">
        <is>
          <t>凯琦FBA报价_当期.xlsx</t>
        </is>
      </c>
    </row>
    <row r="362">
      <c r="A362" s="1" t="inlineStr">
        <is>
          <t>休斯顿</t>
        </is>
      </c>
      <c r="B362" s="1" t="inlineStr">
        <is>
          <t>休斯顿</t>
        </is>
      </c>
      <c r="C362" s="1" t="inlineStr">
        <is>
          <t>Y-K13美中专线</t>
        </is>
      </c>
      <c r="D362" s="1" t="inlineStr">
        <is>
          <t>义乌</t>
        </is>
      </c>
      <c r="E362" s="1" t="inlineStr">
        <is>
          <t>FOE1</t>
        </is>
      </c>
      <c r="F362" s="134" t="n">
        <v>11.18</v>
      </c>
      <c r="G362" s="1" t="inlineStr">
        <is>
          <t>RMB/KG</t>
        </is>
      </c>
      <c r="H362" s="134" t="n">
        <v>0</v>
      </c>
      <c r="I362" s="1" t="inlineStr">
        <is>
          <t>2026-10-26</t>
        </is>
      </c>
      <c r="J362" s="1" t="inlineStr">
        <is>
          <t>凯琦FBA报价_当期.xlsx</t>
        </is>
      </c>
    </row>
    <row r="363">
      <c r="A363" s="1" t="inlineStr">
        <is>
          <t>芝加哥</t>
        </is>
      </c>
      <c r="B363" s="1" t="inlineStr">
        <is>
          <t>芝加哥</t>
        </is>
      </c>
      <c r="C363" s="1" t="inlineStr">
        <is>
          <t>Y-K14芝加哥专线</t>
        </is>
      </c>
      <c r="D363" s="1" t="inlineStr">
        <is>
          <t>义乌</t>
        </is>
      </c>
      <c r="E363" s="1" t="inlineStr">
        <is>
          <t>MDW2</t>
        </is>
      </c>
      <c r="F363" s="134" t="n">
        <v>10.28</v>
      </c>
      <c r="G363" s="1" t="inlineStr">
        <is>
          <t>RMB/KG</t>
        </is>
      </c>
      <c r="H363" s="134" t="n">
        <v>0</v>
      </c>
      <c r="I363" s="1" t="inlineStr">
        <is>
          <t>2026-10-26</t>
        </is>
      </c>
      <c r="J363" s="1" t="inlineStr">
        <is>
          <t>凯琦FBA报价_当期.xlsx</t>
        </is>
      </c>
    </row>
    <row r="364">
      <c r="A364" s="1" t="inlineStr">
        <is>
          <t>芝加哥</t>
        </is>
      </c>
      <c r="B364" s="1" t="inlineStr">
        <is>
          <t>芝加哥</t>
        </is>
      </c>
      <c r="C364" s="1" t="inlineStr">
        <is>
          <t>Y-K14芝加哥专线</t>
        </is>
      </c>
      <c r="D364" s="1" t="inlineStr">
        <is>
          <t>义乌</t>
        </is>
      </c>
      <c r="E364" s="1" t="inlineStr">
        <is>
          <t>MDW6</t>
        </is>
      </c>
      <c r="F364" s="134" t="n">
        <v>10.28</v>
      </c>
      <c r="G364" s="1" t="inlineStr">
        <is>
          <t>RMB/KG</t>
        </is>
      </c>
      <c r="H364" s="134" t="n">
        <v>0</v>
      </c>
      <c r="I364" s="1" t="inlineStr">
        <is>
          <t>2026-10-26</t>
        </is>
      </c>
      <c r="J364" s="1" t="inlineStr">
        <is>
          <t>凯琦FBA报价_当期.xlsx</t>
        </is>
      </c>
    </row>
    <row r="365">
      <c r="A365" s="1" t="inlineStr">
        <is>
          <t>芝加哥</t>
        </is>
      </c>
      <c r="B365" s="1" t="inlineStr">
        <is>
          <t>芝加哥</t>
        </is>
      </c>
      <c r="C365" s="1" t="inlineStr">
        <is>
          <t>Y-K14芝加哥专线</t>
        </is>
      </c>
      <c r="D365" s="1" t="inlineStr">
        <is>
          <t>义乌</t>
        </is>
      </c>
      <c r="E365" s="1" t="inlineStr">
        <is>
          <t>ORD2</t>
        </is>
      </c>
      <c r="F365" s="134" t="n">
        <v>10.28</v>
      </c>
      <c r="G365" s="1" t="inlineStr">
        <is>
          <t>RMB/KG</t>
        </is>
      </c>
      <c r="H365" s="134" t="n">
        <v>0</v>
      </c>
      <c r="I365" s="1" t="inlineStr">
        <is>
          <t>2026-10-26</t>
        </is>
      </c>
      <c r="J365" s="1" t="inlineStr">
        <is>
          <t>凯琦FBA报价_当期.xlsx</t>
        </is>
      </c>
    </row>
    <row r="366">
      <c r="A366" s="1" t="inlineStr">
        <is>
          <t>芝加哥</t>
        </is>
      </c>
      <c r="B366" s="1" t="inlineStr">
        <is>
          <t>芝加哥</t>
        </is>
      </c>
      <c r="C366" s="1" t="inlineStr">
        <is>
          <t>Y-K14芝加哥专线</t>
        </is>
      </c>
      <c r="D366" s="1" t="inlineStr">
        <is>
          <t>义乌</t>
        </is>
      </c>
      <c r="E366" s="1" t="inlineStr">
        <is>
          <t>IGQ2</t>
        </is>
      </c>
      <c r="F366" s="134" t="n">
        <v>10.28</v>
      </c>
      <c r="G366" s="1" t="inlineStr">
        <is>
          <t>RMB/KG</t>
        </is>
      </c>
      <c r="H366" s="134" t="n">
        <v>0</v>
      </c>
      <c r="I366" s="1" t="inlineStr">
        <is>
          <t>2026-10-26</t>
        </is>
      </c>
      <c r="J366" s="1" t="inlineStr">
        <is>
          <t>凯琦FBA报价_当期.xlsx</t>
        </is>
      </c>
    </row>
    <row r="367">
      <c r="A367" s="1" t="inlineStr">
        <is>
          <t>芝加哥</t>
        </is>
      </c>
      <c r="B367" s="1" t="inlineStr">
        <is>
          <t>芝加哥</t>
        </is>
      </c>
      <c r="C367" s="1" t="inlineStr">
        <is>
          <t>Y-K14芝加哥专线</t>
        </is>
      </c>
      <c r="D367" s="1" t="inlineStr">
        <is>
          <t>义乌</t>
        </is>
      </c>
      <c r="E367" s="1" t="inlineStr">
        <is>
          <t>RFD4</t>
        </is>
      </c>
      <c r="F367" s="134" t="n">
        <v>10.28</v>
      </c>
      <c r="G367" s="1" t="inlineStr">
        <is>
          <t>RMB/KG</t>
        </is>
      </c>
      <c r="H367" s="134" t="n">
        <v>0</v>
      </c>
      <c r="I367" s="1" t="inlineStr">
        <is>
          <t>2026-10-26</t>
        </is>
      </c>
      <c r="J367" s="1" t="inlineStr">
        <is>
          <t>凯琦FBA报价_当期.xlsx</t>
        </is>
      </c>
    </row>
    <row r="368">
      <c r="A368" s="1" t="inlineStr">
        <is>
          <t>芝加哥</t>
        </is>
      </c>
      <c r="B368" s="1" t="inlineStr">
        <is>
          <t>芝加哥</t>
        </is>
      </c>
      <c r="C368" s="1" t="inlineStr">
        <is>
          <t>Y-K14芝加哥专线</t>
        </is>
      </c>
      <c r="D368" s="1" t="inlineStr">
        <is>
          <t>义乌</t>
        </is>
      </c>
      <c r="E368" s="1" t="inlineStr">
        <is>
          <t>RFD2</t>
        </is>
      </c>
      <c r="F368" s="134" t="n">
        <v>10.18</v>
      </c>
      <c r="G368" s="1" t="inlineStr">
        <is>
          <t>RMB/KG</t>
        </is>
      </c>
      <c r="H368" s="134" t="n">
        <v>0</v>
      </c>
      <c r="I368" s="1" t="inlineStr">
        <is>
          <t>2026-10-26</t>
        </is>
      </c>
      <c r="J368" s="1" t="inlineStr">
        <is>
          <t>凯琦FBA报价_当期.xlsx</t>
        </is>
      </c>
    </row>
    <row r="369">
      <c r="A369" s="1" t="inlineStr">
        <is>
          <t>芝加哥</t>
        </is>
      </c>
      <c r="B369" s="1" t="inlineStr">
        <is>
          <t>芝加哥</t>
        </is>
      </c>
      <c r="C369" s="1" t="inlineStr">
        <is>
          <t>Y-K14芝加哥专线</t>
        </is>
      </c>
      <c r="D369" s="1" t="inlineStr">
        <is>
          <t>义乌</t>
        </is>
      </c>
      <c r="E369" s="1" t="inlineStr">
        <is>
          <t>STL3</t>
        </is>
      </c>
      <c r="F369" s="134" t="n">
        <v>11.08</v>
      </c>
      <c r="G369" s="1" t="inlineStr">
        <is>
          <t>RMB/KG</t>
        </is>
      </c>
      <c r="H369" s="134" t="n">
        <v>0</v>
      </c>
      <c r="I369" s="1" t="inlineStr">
        <is>
          <t>2026-10-26</t>
        </is>
      </c>
      <c r="J369" s="1" t="inlineStr">
        <is>
          <t>凯琦FBA报价_当期.xlsx</t>
        </is>
      </c>
    </row>
    <row r="370">
      <c r="A370" s="1" t="inlineStr">
        <is>
          <t>芝加哥</t>
        </is>
      </c>
      <c r="B370" s="1" t="inlineStr">
        <is>
          <t>芝加哥</t>
        </is>
      </c>
      <c r="C370" s="1" t="inlineStr">
        <is>
          <t>Y-K14芝加哥专线</t>
        </is>
      </c>
      <c r="D370" s="1" t="inlineStr">
        <is>
          <t>义乌</t>
        </is>
      </c>
      <c r="E370" s="1" t="inlineStr">
        <is>
          <t>STL4</t>
        </is>
      </c>
      <c r="F370" s="134" t="n">
        <v>10.78</v>
      </c>
      <c r="G370" s="1" t="inlineStr">
        <is>
          <t>RMB/KG</t>
        </is>
      </c>
      <c r="H370" s="134" t="n">
        <v>0</v>
      </c>
      <c r="I370" s="1" t="inlineStr">
        <is>
          <t>2026-10-26</t>
        </is>
      </c>
      <c r="J370" s="1" t="inlineStr">
        <is>
          <t>凯琦FBA报价_当期.xlsx</t>
        </is>
      </c>
    </row>
    <row r="371">
      <c r="A371" s="1" t="inlineStr">
        <is>
          <t>芝加哥</t>
        </is>
      </c>
      <c r="B371" s="1" t="inlineStr">
        <is>
          <t>芝加哥</t>
        </is>
      </c>
      <c r="C371" s="1" t="inlineStr">
        <is>
          <t>Y-K14芝加哥专线</t>
        </is>
      </c>
      <c r="D371" s="1" t="inlineStr">
        <is>
          <t>义乌</t>
        </is>
      </c>
      <c r="E371" s="1" t="inlineStr">
        <is>
          <t>IND5</t>
        </is>
      </c>
      <c r="F371" s="134" t="n">
        <v>10.78</v>
      </c>
      <c r="G371" s="1" t="inlineStr">
        <is>
          <t>RMB/KG</t>
        </is>
      </c>
      <c r="H371" s="134" t="n">
        <v>0</v>
      </c>
      <c r="I371" s="1" t="inlineStr">
        <is>
          <t>2026-10-26</t>
        </is>
      </c>
      <c r="J371" s="1" t="inlineStr">
        <is>
          <t>凯琦FBA报价_当期.xlsx</t>
        </is>
      </c>
    </row>
    <row r="372">
      <c r="A372" s="1" t="inlineStr">
        <is>
          <t>芝加哥</t>
        </is>
      </c>
      <c r="B372" s="1" t="inlineStr">
        <is>
          <t>芝加哥</t>
        </is>
      </c>
      <c r="C372" s="1" t="inlineStr">
        <is>
          <t>Y-K14芝加哥专线</t>
        </is>
      </c>
      <c r="D372" s="1" t="inlineStr">
        <is>
          <t>义乌</t>
        </is>
      </c>
      <c r="E372" s="1" t="inlineStr">
        <is>
          <t>IND9</t>
        </is>
      </c>
      <c r="F372" s="134" t="n">
        <v>10.78</v>
      </c>
      <c r="G372" s="1" t="inlineStr">
        <is>
          <t>RMB/KG</t>
        </is>
      </c>
      <c r="H372" s="134" t="n">
        <v>0</v>
      </c>
      <c r="I372" s="1" t="inlineStr">
        <is>
          <t>2026-10-26</t>
        </is>
      </c>
      <c r="J372" s="1" t="inlineStr">
        <is>
          <t>凯琦FBA报价_当期.xlsx</t>
        </is>
      </c>
    </row>
    <row r="373">
      <c r="A373" s="1" t="inlineStr">
        <is>
          <t>芝加哥</t>
        </is>
      </c>
      <c r="B373" s="1" t="inlineStr">
        <is>
          <t>芝加哥</t>
        </is>
      </c>
      <c r="C373" s="1" t="inlineStr">
        <is>
          <t>Y-K14芝加哥专线</t>
        </is>
      </c>
      <c r="D373" s="1" t="inlineStr">
        <is>
          <t>义乌</t>
        </is>
      </c>
      <c r="E373" s="1" t="inlineStr">
        <is>
          <t>MQJ1</t>
        </is>
      </c>
      <c r="F373" s="134" t="n">
        <v>10.78</v>
      </c>
      <c r="G373" s="1" t="inlineStr">
        <is>
          <t>RMB/KG</t>
        </is>
      </c>
      <c r="H373" s="134" t="n">
        <v>0</v>
      </c>
      <c r="I373" s="1" t="inlineStr">
        <is>
          <t>2026-10-26</t>
        </is>
      </c>
      <c r="J373" s="1" t="inlineStr">
        <is>
          <t>凯琦FBA报价_当期.xlsx</t>
        </is>
      </c>
    </row>
    <row r="374">
      <c r="A374" s="1" t="inlineStr">
        <is>
          <t>芝加哥</t>
        </is>
      </c>
      <c r="B374" s="1" t="inlineStr">
        <is>
          <t>芝加哥</t>
        </is>
      </c>
      <c r="C374" s="1" t="inlineStr">
        <is>
          <t>Y-K14芝加哥专线</t>
        </is>
      </c>
      <c r="D374" s="1" t="inlineStr">
        <is>
          <t>义乌</t>
        </is>
      </c>
      <c r="E374" s="1" t="inlineStr">
        <is>
          <t>FWA4</t>
        </is>
      </c>
      <c r="F374" s="134" t="n">
        <v>10.78</v>
      </c>
      <c r="G374" s="1" t="inlineStr">
        <is>
          <t>RMB/KG</t>
        </is>
      </c>
      <c r="H374" s="134" t="n">
        <v>0</v>
      </c>
      <c r="I374" s="1" t="inlineStr">
        <is>
          <t>2026-10-26</t>
        </is>
      </c>
      <c r="J374" s="1" t="inlineStr">
        <is>
          <t>凯琦FBA报价_当期.xlsx</t>
        </is>
      </c>
    </row>
    <row r="375">
      <c r="A375" s="1" t="inlineStr">
        <is>
          <t>芝加哥</t>
        </is>
      </c>
      <c r="B375" s="1" t="inlineStr">
        <is>
          <t>芝加哥</t>
        </is>
      </c>
      <c r="C375" s="1" t="inlineStr">
        <is>
          <t>Y-K14芝加哥专线</t>
        </is>
      </c>
      <c r="D375" s="1" t="inlineStr">
        <is>
          <t>义乌</t>
        </is>
      </c>
      <c r="E375" s="1" t="inlineStr">
        <is>
          <t>JVL1</t>
        </is>
      </c>
      <c r="F375" s="134" t="n">
        <v>10.38</v>
      </c>
      <c r="G375" s="1" t="inlineStr">
        <is>
          <t>RMB/KG</t>
        </is>
      </c>
      <c r="H375" s="134" t="n">
        <v>0</v>
      </c>
      <c r="I375" s="1" t="inlineStr">
        <is>
          <t>2026-10-26</t>
        </is>
      </c>
      <c r="J375" s="1" t="inlineStr">
        <is>
          <t>凯琦FBA报价_当期.xlsx</t>
        </is>
      </c>
    </row>
    <row r="376">
      <c r="A376" s="1" t="inlineStr">
        <is>
          <t>芝加哥</t>
        </is>
      </c>
      <c r="B376" s="1" t="inlineStr">
        <is>
          <t>芝加哥</t>
        </is>
      </c>
      <c r="C376" s="1" t="inlineStr">
        <is>
          <t>Y-K14芝加哥专线</t>
        </is>
      </c>
      <c r="D376" s="1" t="inlineStr">
        <is>
          <t>义乌</t>
        </is>
      </c>
      <c r="E376" s="1" t="inlineStr">
        <is>
          <t>TOL3</t>
        </is>
      </c>
      <c r="F376" s="134" t="n">
        <v>11.08</v>
      </c>
      <c r="G376" s="1" t="inlineStr">
        <is>
          <t>RMB/KG</t>
        </is>
      </c>
      <c r="H376" s="134" t="n">
        <v>0</v>
      </c>
      <c r="I376" s="1" t="inlineStr">
        <is>
          <t>2026-10-26</t>
        </is>
      </c>
      <c r="J376" s="1" t="inlineStr">
        <is>
          <t>凯琦FBA报价_当期.xlsx</t>
        </is>
      </c>
    </row>
    <row r="377">
      <c r="A377" s="1" t="inlineStr">
        <is>
          <t>芝加哥</t>
        </is>
      </c>
      <c r="B377" s="1" t="inlineStr">
        <is>
          <t>芝加哥</t>
        </is>
      </c>
      <c r="C377" s="1" t="inlineStr">
        <is>
          <t>Y-K14芝加哥专线</t>
        </is>
      </c>
      <c r="D377" s="1" t="inlineStr">
        <is>
          <t>义乌</t>
        </is>
      </c>
      <c r="E377" s="1" t="inlineStr">
        <is>
          <t>DET1</t>
        </is>
      </c>
      <c r="F377" s="134" t="n">
        <v>11.08</v>
      </c>
      <c r="G377" s="1" t="inlineStr">
        <is>
          <t>RMB/KG</t>
        </is>
      </c>
      <c r="H377" s="134" t="n">
        <v>0</v>
      </c>
      <c r="I377" s="1" t="inlineStr">
        <is>
          <t>2026-10-26</t>
        </is>
      </c>
      <c r="J377" s="1" t="inlineStr">
        <is>
          <t>凯琦FBA报价_当期.xlsx</t>
        </is>
      </c>
    </row>
    <row r="378">
      <c r="A378" s="1" t="inlineStr">
        <is>
          <t>芝加哥</t>
        </is>
      </c>
      <c r="B378" s="1" t="inlineStr">
        <is>
          <t>芝加哥</t>
        </is>
      </c>
      <c r="C378" s="1" t="inlineStr">
        <is>
          <t>Y-K14芝加哥专线</t>
        </is>
      </c>
      <c r="D378" s="1" t="inlineStr">
        <is>
          <t>义乌</t>
        </is>
      </c>
      <c r="E378" s="1" t="inlineStr">
        <is>
          <t>DET2</t>
        </is>
      </c>
      <c r="F378" s="134" t="n">
        <v>11.08</v>
      </c>
      <c r="G378" s="1" t="inlineStr">
        <is>
          <t>RMB/KG</t>
        </is>
      </c>
      <c r="H378" s="134" t="n">
        <v>0</v>
      </c>
      <c r="I378" s="1" t="inlineStr">
        <is>
          <t>2026-10-26</t>
        </is>
      </c>
      <c r="J378" s="1" t="inlineStr">
        <is>
          <t>凯琦FBA报价_当期.xlsx</t>
        </is>
      </c>
    </row>
    <row r="379">
      <c r="A379" s="1" t="inlineStr">
        <is>
          <t>芝加哥</t>
        </is>
      </c>
      <c r="B379" s="1" t="inlineStr">
        <is>
          <t>芝加哥</t>
        </is>
      </c>
      <c r="C379" s="1" t="inlineStr">
        <is>
          <t>Y-K14芝加哥专线</t>
        </is>
      </c>
      <c r="D379" s="1" t="inlineStr">
        <is>
          <t>义乌</t>
        </is>
      </c>
      <c r="E379" s="1" t="inlineStr">
        <is>
          <t>CMH2</t>
        </is>
      </c>
      <c r="F379" s="134" t="n">
        <v>11.08</v>
      </c>
      <c r="G379" s="1" t="inlineStr">
        <is>
          <t>RMB/KG</t>
        </is>
      </c>
      <c r="H379" s="134" t="n">
        <v>0</v>
      </c>
      <c r="I379" s="1" t="inlineStr">
        <is>
          <t>2026-10-26</t>
        </is>
      </c>
      <c r="J379" s="1" t="inlineStr">
        <is>
          <t>凯琦FBA报价_当期.xlsx</t>
        </is>
      </c>
    </row>
    <row r="380">
      <c r="A380" s="1" t="inlineStr">
        <is>
          <t>芝加哥</t>
        </is>
      </c>
      <c r="B380" s="1" t="inlineStr">
        <is>
          <t>芝加哥</t>
        </is>
      </c>
      <c r="C380" s="1" t="inlineStr">
        <is>
          <t>Y-K14芝加哥专线</t>
        </is>
      </c>
      <c r="D380" s="1" t="inlineStr">
        <is>
          <t>义乌</t>
        </is>
      </c>
      <c r="E380" s="1" t="inlineStr">
        <is>
          <t>CMH3</t>
        </is>
      </c>
      <c r="F380" s="134" t="n">
        <v>11.08</v>
      </c>
      <c r="G380" s="1" t="inlineStr">
        <is>
          <t>RMB/KG</t>
        </is>
      </c>
      <c r="H380" s="134" t="n">
        <v>0</v>
      </c>
      <c r="I380" s="1" t="inlineStr">
        <is>
          <t>2026-10-26</t>
        </is>
      </c>
      <c r="J380" s="1" t="inlineStr">
        <is>
          <t>凯琦FBA报价_当期.xlsx</t>
        </is>
      </c>
    </row>
    <row r="381">
      <c r="A381" s="1" t="inlineStr">
        <is>
          <t>芝加哥</t>
        </is>
      </c>
      <c r="B381" s="1" t="inlineStr">
        <is>
          <t>芝加哥</t>
        </is>
      </c>
      <c r="C381" s="1" t="inlineStr">
        <is>
          <t>Y-K14芝加哥专线</t>
        </is>
      </c>
      <c r="D381" s="1" t="inlineStr">
        <is>
          <t>义乌</t>
        </is>
      </c>
      <c r="E381" s="1" t="inlineStr">
        <is>
          <t>IMI1</t>
        </is>
      </c>
      <c r="F381" s="134" t="n">
        <v>11.18</v>
      </c>
      <c r="G381" s="1" t="inlineStr">
        <is>
          <t>RMB/KG</t>
        </is>
      </c>
      <c r="H381" s="134" t="n">
        <v>0</v>
      </c>
      <c r="I381" s="1" t="inlineStr">
        <is>
          <t>2026-10-26</t>
        </is>
      </c>
      <c r="J381" s="1" t="inlineStr">
        <is>
          <t>凯琦FBA报价_当期.xlsx</t>
        </is>
      </c>
    </row>
    <row r="382">
      <c r="A382" s="1" t="inlineStr">
        <is>
          <t>芝加哥</t>
        </is>
      </c>
      <c r="B382" s="1" t="inlineStr">
        <is>
          <t>芝加哥</t>
        </is>
      </c>
      <c r="C382" s="1" t="inlineStr">
        <is>
          <t>Y-K14芝加哥专线</t>
        </is>
      </c>
      <c r="D382" s="1" t="inlineStr">
        <is>
          <t>义乌</t>
        </is>
      </c>
      <c r="E382" s="1" t="inlineStr">
        <is>
          <t>FOE1</t>
        </is>
      </c>
      <c r="F382" s="134" t="n">
        <v>11.38</v>
      </c>
      <c r="G382" s="1" t="inlineStr">
        <is>
          <t>RMB/KG</t>
        </is>
      </c>
      <c r="H382" s="134" t="n">
        <v>0</v>
      </c>
      <c r="I382" s="1" t="inlineStr">
        <is>
          <t>2026-10-26</t>
        </is>
      </c>
      <c r="J382" s="1" t="inlineStr">
        <is>
          <t>凯琦FBA报价_当期.xlsx</t>
        </is>
      </c>
    </row>
    <row r="383">
      <c r="A383" s="1" t="inlineStr">
        <is>
          <t>芝加哥</t>
        </is>
      </c>
      <c r="B383" s="1" t="inlineStr">
        <is>
          <t>芝加哥</t>
        </is>
      </c>
      <c r="C383" s="1" t="inlineStr">
        <is>
          <t>Y-K14芝加哥专线</t>
        </is>
      </c>
      <c r="D383" s="1" t="inlineStr">
        <is>
          <t>义乌</t>
        </is>
      </c>
      <c r="E383" s="1" t="inlineStr">
        <is>
          <t>MKC4</t>
        </is>
      </c>
      <c r="F383" s="134" t="n">
        <v>11.38</v>
      </c>
      <c r="G383" s="1" t="inlineStr">
        <is>
          <t>RMB/KG</t>
        </is>
      </c>
      <c r="H383" s="134" t="n">
        <v>0</v>
      </c>
      <c r="I383" s="1" t="inlineStr">
        <is>
          <t>2026-10-26</t>
        </is>
      </c>
      <c r="J383" s="1" t="inlineStr">
        <is>
          <t>凯琦FBA报价_当期.xlsx</t>
        </is>
      </c>
    </row>
    <row r="384">
      <c r="A384" s="1" t="inlineStr">
        <is>
          <t>芝加哥</t>
        </is>
      </c>
      <c r="B384" s="1" t="inlineStr">
        <is>
          <t>芝加哥</t>
        </is>
      </c>
      <c r="C384" s="1" t="inlineStr">
        <is>
          <t>Y-K14芝加哥专线</t>
        </is>
      </c>
      <c r="D384" s="1" t="inlineStr">
        <is>
          <t>义乌</t>
        </is>
      </c>
      <c r="E384" s="1" t="inlineStr">
        <is>
          <t>IMO1</t>
        </is>
      </c>
      <c r="F384" s="134" t="n">
        <v>11.48</v>
      </c>
      <c r="G384" s="1" t="inlineStr">
        <is>
          <t>RMB/KG</t>
        </is>
      </c>
      <c r="H384" s="134" t="n">
        <v>0</v>
      </c>
      <c r="I384" s="1" t="inlineStr">
        <is>
          <t>2026-10-26</t>
        </is>
      </c>
      <c r="J384" s="1" t="inlineStr">
        <is>
          <t>凯琦FBA报价_当期.xlsx</t>
        </is>
      </c>
    </row>
    <row r="385">
      <c r="A385" s="1" t="inlineStr">
        <is>
          <t>芝加哥</t>
        </is>
      </c>
      <c r="B385" s="1" t="inlineStr">
        <is>
          <t>芝加哥</t>
        </is>
      </c>
      <c r="C385" s="1" t="inlineStr">
        <is>
          <t>Y-K14芝加哥专线</t>
        </is>
      </c>
      <c r="D385" s="1" t="inlineStr">
        <is>
          <t>义乌</t>
        </is>
      </c>
      <c r="E385" s="1" t="inlineStr">
        <is>
          <t>MCI4</t>
        </is>
      </c>
      <c r="F385" s="134" t="n">
        <v>12.28</v>
      </c>
      <c r="G385" s="1" t="inlineStr">
        <is>
          <t>RMB/KG</t>
        </is>
      </c>
      <c r="H385" s="134" t="n">
        <v>0</v>
      </c>
      <c r="I385" s="1" t="inlineStr">
        <is>
          <t>2026-10-26</t>
        </is>
      </c>
      <c r="J385" s="1" t="inlineStr">
        <is>
          <t>凯琦FBA报价_当期.xlsx</t>
        </is>
      </c>
    </row>
    <row r="386">
      <c r="A386" s="1" t="inlineStr">
        <is>
          <t>芝加哥</t>
        </is>
      </c>
      <c r="B386" s="1" t="inlineStr">
        <is>
          <t>芝加哥</t>
        </is>
      </c>
      <c r="C386" s="1" t="inlineStr">
        <is>
          <t>Y-琦速达芝加哥</t>
        </is>
      </c>
      <c r="D386" s="1" t="inlineStr">
        <is>
          <t>义乌</t>
        </is>
      </c>
      <c r="E386" s="1" t="inlineStr">
        <is>
          <t>MDW2</t>
        </is>
      </c>
      <c r="F386" s="134" t="n">
        <v>14.38</v>
      </c>
      <c r="G386" s="1" t="inlineStr">
        <is>
          <t>RMB/KG</t>
        </is>
      </c>
      <c r="H386" s="134" t="n">
        <v>0</v>
      </c>
      <c r="I386" s="1" t="inlineStr">
        <is>
          <t>2026-10-26</t>
        </is>
      </c>
      <c r="J386" s="1" t="inlineStr">
        <is>
          <t>凯琦FBA报价_当期.xlsx</t>
        </is>
      </c>
    </row>
    <row r="387">
      <c r="A387" s="1" t="inlineStr">
        <is>
          <t>芝加哥</t>
        </is>
      </c>
      <c r="B387" s="1" t="inlineStr">
        <is>
          <t>芝加哥</t>
        </is>
      </c>
      <c r="C387" s="1" t="inlineStr">
        <is>
          <t>Y-琦速达芝加哥</t>
        </is>
      </c>
      <c r="D387" s="1" t="inlineStr">
        <is>
          <t>义乌</t>
        </is>
      </c>
      <c r="E387" s="1" t="inlineStr">
        <is>
          <t>MDW6</t>
        </is>
      </c>
      <c r="F387" s="134" t="n">
        <v>14.38</v>
      </c>
      <c r="G387" s="1" t="inlineStr">
        <is>
          <t>RMB/KG</t>
        </is>
      </c>
      <c r="H387" s="134" t="n">
        <v>0</v>
      </c>
      <c r="I387" s="1" t="inlineStr">
        <is>
          <t>2026-10-26</t>
        </is>
      </c>
      <c r="J387" s="1" t="inlineStr">
        <is>
          <t>凯琦FBA报价_当期.xlsx</t>
        </is>
      </c>
    </row>
    <row r="388">
      <c r="A388" s="1" t="inlineStr">
        <is>
          <t>芝加哥</t>
        </is>
      </c>
      <c r="B388" s="1" t="inlineStr">
        <is>
          <t>芝加哥</t>
        </is>
      </c>
      <c r="C388" s="1" t="inlineStr">
        <is>
          <t>Y-琦速达芝加哥</t>
        </is>
      </c>
      <c r="D388" s="1" t="inlineStr">
        <is>
          <t>义乌</t>
        </is>
      </c>
      <c r="E388" s="1" t="inlineStr">
        <is>
          <t>ORD2</t>
        </is>
      </c>
      <c r="F388" s="134" t="n">
        <v>14.38</v>
      </c>
      <c r="G388" s="1" t="inlineStr">
        <is>
          <t>RMB/KG</t>
        </is>
      </c>
      <c r="H388" s="134" t="n">
        <v>0</v>
      </c>
      <c r="I388" s="1" t="inlineStr">
        <is>
          <t>2026-10-26</t>
        </is>
      </c>
      <c r="J388" s="1" t="inlineStr">
        <is>
          <t>凯琦FBA报价_当期.xlsx</t>
        </is>
      </c>
    </row>
    <row r="389">
      <c r="A389" s="1" t="inlineStr">
        <is>
          <t>芝加哥</t>
        </is>
      </c>
      <c r="B389" s="1" t="inlineStr">
        <is>
          <t>芝加哥</t>
        </is>
      </c>
      <c r="C389" s="1" t="inlineStr">
        <is>
          <t>Y-琦速达芝加哥</t>
        </is>
      </c>
      <c r="D389" s="1" t="inlineStr">
        <is>
          <t>义乌</t>
        </is>
      </c>
      <c r="E389" s="1" t="inlineStr">
        <is>
          <t>IGQ2</t>
        </is>
      </c>
      <c r="F389" s="134" t="n">
        <v>14.38</v>
      </c>
      <c r="G389" s="1" t="inlineStr">
        <is>
          <t>RMB/KG</t>
        </is>
      </c>
      <c r="H389" s="134" t="n">
        <v>0</v>
      </c>
      <c r="I389" s="1" t="inlineStr">
        <is>
          <t>2026-10-26</t>
        </is>
      </c>
      <c r="J389" s="1" t="inlineStr">
        <is>
          <t>凯琦FBA报价_当期.xlsx</t>
        </is>
      </c>
    </row>
    <row r="390">
      <c r="A390" s="1" t="inlineStr">
        <is>
          <t>芝加哥</t>
        </is>
      </c>
      <c r="B390" s="1" t="inlineStr">
        <is>
          <t>芝加哥</t>
        </is>
      </c>
      <c r="C390" s="1" t="inlineStr">
        <is>
          <t>Y-琦速达芝加哥</t>
        </is>
      </c>
      <c r="D390" s="1" t="inlineStr">
        <is>
          <t>义乌</t>
        </is>
      </c>
      <c r="E390" s="1" t="inlineStr">
        <is>
          <t>RFD4</t>
        </is>
      </c>
      <c r="F390" s="134" t="n">
        <v>14.68</v>
      </c>
      <c r="G390" s="1" t="inlineStr">
        <is>
          <t>RMB/KG</t>
        </is>
      </c>
      <c r="H390" s="134" t="n">
        <v>0</v>
      </c>
      <c r="I390" s="1" t="inlineStr">
        <is>
          <t>2026-10-26</t>
        </is>
      </c>
      <c r="J390" s="1" t="inlineStr">
        <is>
          <t>凯琦FBA报价_当期.xlsx</t>
        </is>
      </c>
    </row>
    <row r="391">
      <c r="A391" s="1" t="inlineStr">
        <is>
          <t>芝加哥</t>
        </is>
      </c>
      <c r="B391" s="1" t="inlineStr">
        <is>
          <t>芝加哥</t>
        </is>
      </c>
      <c r="C391" s="1" t="inlineStr">
        <is>
          <t>Y-琦速达芝加哥</t>
        </is>
      </c>
      <c r="D391" s="1" t="inlineStr">
        <is>
          <t>义乌</t>
        </is>
      </c>
      <c r="E391" s="1" t="inlineStr">
        <is>
          <t>RFD2</t>
        </is>
      </c>
      <c r="F391" s="134" t="n">
        <v>14.68</v>
      </c>
      <c r="G391" s="1" t="inlineStr">
        <is>
          <t>RMB/KG</t>
        </is>
      </c>
      <c r="H391" s="134" t="n">
        <v>0</v>
      </c>
      <c r="I391" s="1" t="inlineStr">
        <is>
          <t>2026-10-26</t>
        </is>
      </c>
      <c r="J391" s="1" t="inlineStr">
        <is>
          <t>凯琦FBA报价_当期.xlsx</t>
        </is>
      </c>
    </row>
    <row r="392">
      <c r="A392" s="1" t="inlineStr">
        <is>
          <t>芝加哥</t>
        </is>
      </c>
      <c r="B392" s="1" t="inlineStr">
        <is>
          <t>芝加哥</t>
        </is>
      </c>
      <c r="C392" s="1" t="inlineStr">
        <is>
          <t>Y-琦速达芝加哥</t>
        </is>
      </c>
      <c r="D392" s="1" t="inlineStr">
        <is>
          <t>义乌</t>
        </is>
      </c>
      <c r="E392" s="1" t="inlineStr">
        <is>
          <t>STL3</t>
        </is>
      </c>
      <c r="F392" s="134" t="n">
        <v>15.58</v>
      </c>
      <c r="G392" s="1" t="inlineStr">
        <is>
          <t>RMB/KG</t>
        </is>
      </c>
      <c r="H392" s="134" t="n">
        <v>0</v>
      </c>
      <c r="I392" s="1" t="inlineStr">
        <is>
          <t>2026-10-26</t>
        </is>
      </c>
      <c r="J392" s="1" t="inlineStr">
        <is>
          <t>凯琦FBA报价_当期.xlsx</t>
        </is>
      </c>
    </row>
    <row r="393">
      <c r="A393" s="1" t="inlineStr">
        <is>
          <t>芝加哥</t>
        </is>
      </c>
      <c r="B393" s="1" t="inlineStr">
        <is>
          <t>芝加哥</t>
        </is>
      </c>
      <c r="C393" s="1" t="inlineStr">
        <is>
          <t>Y-琦速达芝加哥</t>
        </is>
      </c>
      <c r="D393" s="1" t="inlineStr">
        <is>
          <t>义乌</t>
        </is>
      </c>
      <c r="E393" s="1" t="inlineStr">
        <is>
          <t>STL4</t>
        </is>
      </c>
      <c r="F393" s="134" t="n">
        <v>15.28</v>
      </c>
      <c r="G393" s="1" t="inlineStr">
        <is>
          <t>RMB/KG</t>
        </is>
      </c>
      <c r="H393" s="134" t="n">
        <v>0</v>
      </c>
      <c r="I393" s="1" t="inlineStr">
        <is>
          <t>2026-10-26</t>
        </is>
      </c>
      <c r="J393" s="1" t="inlineStr">
        <is>
          <t>凯琦FBA报价_当期.xlsx</t>
        </is>
      </c>
    </row>
    <row r="394">
      <c r="A394" s="1" t="inlineStr">
        <is>
          <t>芝加哥</t>
        </is>
      </c>
      <c r="B394" s="1" t="inlineStr">
        <is>
          <t>芝加哥</t>
        </is>
      </c>
      <c r="C394" s="1" t="inlineStr">
        <is>
          <t>Y-琦速达芝加哥</t>
        </is>
      </c>
      <c r="D394" s="1" t="inlineStr">
        <is>
          <t>义乌</t>
        </is>
      </c>
      <c r="E394" s="1" t="inlineStr">
        <is>
          <t>IND5</t>
        </is>
      </c>
      <c r="F394" s="134" t="n">
        <v>15.28</v>
      </c>
      <c r="G394" s="1" t="inlineStr">
        <is>
          <t>RMB/KG</t>
        </is>
      </c>
      <c r="H394" s="134" t="n">
        <v>0</v>
      </c>
      <c r="I394" s="1" t="inlineStr">
        <is>
          <t>2026-10-26</t>
        </is>
      </c>
      <c r="J394" s="1" t="inlineStr">
        <is>
          <t>凯琦FBA报价_当期.xlsx</t>
        </is>
      </c>
    </row>
    <row r="395">
      <c r="A395" s="1" t="inlineStr">
        <is>
          <t>芝加哥</t>
        </is>
      </c>
      <c r="B395" s="1" t="inlineStr">
        <is>
          <t>芝加哥</t>
        </is>
      </c>
      <c r="C395" s="1" t="inlineStr">
        <is>
          <t>Y-琦速达芝加哥</t>
        </is>
      </c>
      <c r="D395" s="1" t="inlineStr">
        <is>
          <t>义乌</t>
        </is>
      </c>
      <c r="E395" s="1" t="inlineStr">
        <is>
          <t>IND9</t>
        </is>
      </c>
      <c r="F395" s="134" t="n">
        <v>15.28</v>
      </c>
      <c r="G395" s="1" t="inlineStr">
        <is>
          <t>RMB/KG</t>
        </is>
      </c>
      <c r="H395" s="134" t="n">
        <v>0</v>
      </c>
      <c r="I395" s="1" t="inlineStr">
        <is>
          <t>2026-10-26</t>
        </is>
      </c>
      <c r="J395" s="1" t="inlineStr">
        <is>
          <t>凯琦FBA报价_当期.xlsx</t>
        </is>
      </c>
    </row>
    <row r="396">
      <c r="A396" s="1" t="inlineStr">
        <is>
          <t>芝加哥</t>
        </is>
      </c>
      <c r="B396" s="1" t="inlineStr">
        <is>
          <t>芝加哥</t>
        </is>
      </c>
      <c r="C396" s="1" t="inlineStr">
        <is>
          <t>Y-琦速达芝加哥</t>
        </is>
      </c>
      <c r="D396" s="1" t="inlineStr">
        <is>
          <t>义乌</t>
        </is>
      </c>
      <c r="E396" s="1" t="inlineStr">
        <is>
          <t>MQJ1</t>
        </is>
      </c>
      <c r="F396" s="134" t="n">
        <v>15.28</v>
      </c>
      <c r="G396" s="1" t="inlineStr">
        <is>
          <t>RMB/KG</t>
        </is>
      </c>
      <c r="H396" s="134" t="n">
        <v>0</v>
      </c>
      <c r="I396" s="1" t="inlineStr">
        <is>
          <t>2026-10-26</t>
        </is>
      </c>
      <c r="J396" s="1" t="inlineStr">
        <is>
          <t>凯琦FBA报价_当期.xlsx</t>
        </is>
      </c>
    </row>
    <row r="397">
      <c r="A397" s="1" t="inlineStr">
        <is>
          <t>芝加哥</t>
        </is>
      </c>
      <c r="B397" s="1" t="inlineStr">
        <is>
          <t>芝加哥</t>
        </is>
      </c>
      <c r="C397" s="1" t="inlineStr">
        <is>
          <t>Y-琦速达芝加哥</t>
        </is>
      </c>
      <c r="D397" s="1" t="inlineStr">
        <is>
          <t>义乌</t>
        </is>
      </c>
      <c r="E397" s="1" t="inlineStr">
        <is>
          <t>FWA4</t>
        </is>
      </c>
      <c r="F397" s="134" t="n">
        <v>15.28</v>
      </c>
      <c r="G397" s="1" t="inlineStr">
        <is>
          <t>RMB/KG</t>
        </is>
      </c>
      <c r="H397" s="134" t="n">
        <v>0</v>
      </c>
      <c r="I397" s="1" t="inlineStr">
        <is>
          <t>2026-10-26</t>
        </is>
      </c>
      <c r="J397" s="1" t="inlineStr">
        <is>
          <t>凯琦FBA报价_当期.xlsx</t>
        </is>
      </c>
    </row>
    <row r="398">
      <c r="A398" s="1" t="inlineStr">
        <is>
          <t>芝加哥</t>
        </is>
      </c>
      <c r="B398" s="1" t="inlineStr">
        <is>
          <t>芝加哥</t>
        </is>
      </c>
      <c r="C398" s="1" t="inlineStr">
        <is>
          <t>Y-琦速达芝加哥</t>
        </is>
      </c>
      <c r="D398" s="1" t="inlineStr">
        <is>
          <t>义乌</t>
        </is>
      </c>
      <c r="E398" s="1" t="inlineStr">
        <is>
          <t>JVL1</t>
        </is>
      </c>
      <c r="F398" s="134" t="n">
        <v>15.28</v>
      </c>
      <c r="G398" s="1" t="inlineStr">
        <is>
          <t>RMB/KG</t>
        </is>
      </c>
      <c r="H398" s="134" t="n">
        <v>0</v>
      </c>
      <c r="I398" s="1" t="inlineStr">
        <is>
          <t>2026-10-26</t>
        </is>
      </c>
      <c r="J398" s="1" t="inlineStr">
        <is>
          <t>凯琦FBA报价_当期.xlsx</t>
        </is>
      </c>
    </row>
    <row r="399">
      <c r="A399" s="1" t="inlineStr">
        <is>
          <t>芝加哥</t>
        </is>
      </c>
      <c r="B399" s="1" t="inlineStr">
        <is>
          <t>芝加哥</t>
        </is>
      </c>
      <c r="C399" s="1" t="inlineStr">
        <is>
          <t>Y-琦速达芝加哥</t>
        </is>
      </c>
      <c r="D399" s="1" t="inlineStr">
        <is>
          <t>义乌</t>
        </is>
      </c>
      <c r="E399" s="1" t="inlineStr">
        <is>
          <t>TOL3</t>
        </is>
      </c>
      <c r="F399" s="134" t="n">
        <v>15.78</v>
      </c>
      <c r="G399" s="1" t="inlineStr">
        <is>
          <t>RMB/KG</t>
        </is>
      </c>
      <c r="H399" s="134" t="n">
        <v>0</v>
      </c>
      <c r="I399" s="1" t="inlineStr">
        <is>
          <t>2026-10-26</t>
        </is>
      </c>
      <c r="J399" s="1" t="inlineStr">
        <is>
          <t>凯琦FBA报价_当期.xlsx</t>
        </is>
      </c>
    </row>
    <row r="400">
      <c r="A400" s="1" t="inlineStr">
        <is>
          <t>芝加哥</t>
        </is>
      </c>
      <c r="B400" s="1" t="inlineStr">
        <is>
          <t>芝加哥</t>
        </is>
      </c>
      <c r="C400" s="1" t="inlineStr">
        <is>
          <t>Y-琦速达芝加哥</t>
        </is>
      </c>
      <c r="D400" s="1" t="inlineStr">
        <is>
          <t>义乌</t>
        </is>
      </c>
      <c r="E400" s="1" t="inlineStr">
        <is>
          <t>DET1</t>
        </is>
      </c>
      <c r="F400" s="134" t="n">
        <v>15.78</v>
      </c>
      <c r="G400" s="1" t="inlineStr">
        <is>
          <t>RMB/KG</t>
        </is>
      </c>
      <c r="H400" s="134" t="n">
        <v>0</v>
      </c>
      <c r="I400" s="1" t="inlineStr">
        <is>
          <t>2026-10-26</t>
        </is>
      </c>
      <c r="J400" s="1" t="inlineStr">
        <is>
          <t>凯琦FBA报价_当期.xlsx</t>
        </is>
      </c>
    </row>
    <row r="401">
      <c r="A401" s="1" t="inlineStr">
        <is>
          <t>芝加哥</t>
        </is>
      </c>
      <c r="B401" s="1" t="inlineStr">
        <is>
          <t>芝加哥</t>
        </is>
      </c>
      <c r="C401" s="1" t="inlineStr">
        <is>
          <t>Y-琦速达芝加哥</t>
        </is>
      </c>
      <c r="D401" s="1" t="inlineStr">
        <is>
          <t>义乌</t>
        </is>
      </c>
      <c r="E401" s="1" t="inlineStr">
        <is>
          <t>DET2</t>
        </is>
      </c>
      <c r="F401" s="134" t="n">
        <v>15.78</v>
      </c>
      <c r="G401" s="1" t="inlineStr">
        <is>
          <t>RMB/KG</t>
        </is>
      </c>
      <c r="H401" s="134" t="n">
        <v>0</v>
      </c>
      <c r="I401" s="1" t="inlineStr">
        <is>
          <t>2026-10-26</t>
        </is>
      </c>
      <c r="J401" s="1" t="inlineStr">
        <is>
          <t>凯琦FBA报价_当期.xlsx</t>
        </is>
      </c>
    </row>
    <row r="402">
      <c r="A402" s="1" t="inlineStr">
        <is>
          <t>芝加哥</t>
        </is>
      </c>
      <c r="B402" s="1" t="inlineStr">
        <is>
          <t>芝加哥</t>
        </is>
      </c>
      <c r="C402" s="1" t="inlineStr">
        <is>
          <t>Y-琦速达芝加哥</t>
        </is>
      </c>
      <c r="D402" s="1" t="inlineStr">
        <is>
          <t>义乌</t>
        </is>
      </c>
      <c r="E402" s="1" t="inlineStr">
        <is>
          <t>CMH2</t>
        </is>
      </c>
      <c r="F402" s="134" t="n">
        <v>15.78</v>
      </c>
      <c r="G402" s="1" t="inlineStr">
        <is>
          <t>RMB/KG</t>
        </is>
      </c>
      <c r="H402" s="134" t="n">
        <v>0</v>
      </c>
      <c r="I402" s="1" t="inlineStr">
        <is>
          <t>2026-10-26</t>
        </is>
      </c>
      <c r="J402" s="1" t="inlineStr">
        <is>
          <t>凯琦FBA报价_当期.xlsx</t>
        </is>
      </c>
    </row>
    <row r="403">
      <c r="A403" s="1" t="inlineStr">
        <is>
          <t>芝加哥</t>
        </is>
      </c>
      <c r="B403" s="1" t="inlineStr">
        <is>
          <t>芝加哥</t>
        </is>
      </c>
      <c r="C403" s="1" t="inlineStr">
        <is>
          <t>Y-琦速达芝加哥</t>
        </is>
      </c>
      <c r="D403" s="1" t="inlineStr">
        <is>
          <t>义乌</t>
        </is>
      </c>
      <c r="E403" s="1" t="inlineStr">
        <is>
          <t>CMH3</t>
        </is>
      </c>
      <c r="F403" s="134" t="n">
        <v>15.78</v>
      </c>
      <c r="G403" s="1" t="inlineStr">
        <is>
          <t>RMB/KG</t>
        </is>
      </c>
      <c r="H403" s="134" t="n">
        <v>0</v>
      </c>
      <c r="I403" s="1" t="inlineStr">
        <is>
          <t>2026-10-26</t>
        </is>
      </c>
      <c r="J403" s="1" t="inlineStr">
        <is>
          <t>凯琦FBA报价_当期.xlsx</t>
        </is>
      </c>
    </row>
    <row r="404">
      <c r="A404" s="1" t="inlineStr">
        <is>
          <t>芝加哥</t>
        </is>
      </c>
      <c r="B404" s="1" t="inlineStr">
        <is>
          <t>芝加哥</t>
        </is>
      </c>
      <c r="C404" s="1" t="inlineStr">
        <is>
          <t>Y-琦速达芝加哥</t>
        </is>
      </c>
      <c r="D404" s="1" t="inlineStr">
        <is>
          <t>义乌</t>
        </is>
      </c>
      <c r="E404" s="1" t="inlineStr">
        <is>
          <t>FOE1</t>
        </is>
      </c>
      <c r="F404" s="134" t="n">
        <v>16.38</v>
      </c>
      <c r="G404" s="1" t="inlineStr">
        <is>
          <t>RMB/KG</t>
        </is>
      </c>
      <c r="H404" s="134" t="n">
        <v>0</v>
      </c>
      <c r="I404" s="1" t="inlineStr">
        <is>
          <t>2026-10-26</t>
        </is>
      </c>
      <c r="J404" s="1" t="inlineStr">
        <is>
          <t>凯琦FBA报价_当期.xlsx</t>
        </is>
      </c>
    </row>
    <row r="405">
      <c r="A405" s="1" t="inlineStr">
        <is>
          <t>芝加哥</t>
        </is>
      </c>
      <c r="B405" s="1" t="inlineStr">
        <is>
          <t>芝加哥</t>
        </is>
      </c>
      <c r="C405" s="1" t="inlineStr">
        <is>
          <t>Y-琦速达芝加哥</t>
        </is>
      </c>
      <c r="D405" s="1" t="inlineStr">
        <is>
          <t>义乌</t>
        </is>
      </c>
      <c r="E405" s="1" t="inlineStr">
        <is>
          <t>MKC4</t>
        </is>
      </c>
      <c r="F405" s="134" t="n">
        <v>16.38</v>
      </c>
      <c r="G405" s="1" t="inlineStr">
        <is>
          <t>RMB/KG</t>
        </is>
      </c>
      <c r="H405" s="134" t="n">
        <v>0</v>
      </c>
      <c r="I405" s="1" t="inlineStr">
        <is>
          <t>2026-10-26</t>
        </is>
      </c>
      <c r="J405" s="1" t="inlineStr">
        <is>
          <t>凯琦FBA报价_当期.xlsx</t>
        </is>
      </c>
    </row>
    <row r="406">
      <c r="A406" s="1" t="inlineStr">
        <is>
          <t>纽约</t>
        </is>
      </c>
      <c r="B406" s="1" t="inlineStr">
        <is>
          <t>纽约</t>
        </is>
      </c>
      <c r="C406" s="1" t="inlineStr">
        <is>
          <t>Y15纽约海卡</t>
        </is>
      </c>
      <c r="D406" s="1" t="inlineStr">
        <is>
          <t>义乌</t>
        </is>
      </c>
      <c r="E406" s="1" t="inlineStr">
        <is>
          <t>TEB3</t>
        </is>
      </c>
      <c r="F406" s="134" t="n">
        <v>9.58</v>
      </c>
      <c r="G406" s="1" t="inlineStr">
        <is>
          <t>RMB/KG</t>
        </is>
      </c>
      <c r="H406" s="134" t="n">
        <v>0</v>
      </c>
      <c r="I406" s="1" t="inlineStr">
        <is>
          <t>2026-10-26</t>
        </is>
      </c>
      <c r="J406" s="1" t="inlineStr">
        <is>
          <t>凯琦FBA报价_当期.xlsx</t>
        </is>
      </c>
    </row>
    <row r="407">
      <c r="A407" s="1" t="inlineStr">
        <is>
          <t>纽约</t>
        </is>
      </c>
      <c r="B407" s="1" t="inlineStr">
        <is>
          <t>纽约</t>
        </is>
      </c>
      <c r="C407" s="1" t="inlineStr">
        <is>
          <t>Y15纽约海卡</t>
        </is>
      </c>
      <c r="D407" s="1" t="inlineStr">
        <is>
          <t>义乌</t>
        </is>
      </c>
      <c r="E407" s="1" t="inlineStr">
        <is>
          <t>TEB4</t>
        </is>
      </c>
      <c r="F407" s="134" t="n">
        <v>9.58</v>
      </c>
      <c r="G407" s="1" t="inlineStr">
        <is>
          <t>RMB/KG</t>
        </is>
      </c>
      <c r="H407" s="134" t="n">
        <v>0</v>
      </c>
      <c r="I407" s="1" t="inlineStr">
        <is>
          <t>2026-10-26</t>
        </is>
      </c>
      <c r="J407" s="1" t="inlineStr">
        <is>
          <t>凯琦FBA报价_当期.xlsx</t>
        </is>
      </c>
    </row>
    <row r="408">
      <c r="A408" s="1" t="inlineStr">
        <is>
          <t>纽约</t>
        </is>
      </c>
      <c r="B408" s="1" t="inlineStr">
        <is>
          <t>纽约</t>
        </is>
      </c>
      <c r="C408" s="1" t="inlineStr">
        <is>
          <t>Y15纽约海卡</t>
        </is>
      </c>
      <c r="D408" s="1" t="inlineStr">
        <is>
          <t>义乌</t>
        </is>
      </c>
      <c r="E408" s="1" t="inlineStr">
        <is>
          <t>TEB6</t>
        </is>
      </c>
      <c r="F408" s="134" t="n">
        <v>9.58</v>
      </c>
      <c r="G408" s="1" t="inlineStr">
        <is>
          <t>RMB/KG</t>
        </is>
      </c>
      <c r="H408" s="134" t="n">
        <v>0</v>
      </c>
      <c r="I408" s="1" t="inlineStr">
        <is>
          <t>2026-10-26</t>
        </is>
      </c>
      <c r="J408" s="1" t="inlineStr">
        <is>
          <t>凯琦FBA报价_当期.xlsx</t>
        </is>
      </c>
    </row>
    <row r="409">
      <c r="A409" s="1" t="inlineStr">
        <is>
          <t>纽约</t>
        </is>
      </c>
      <c r="B409" s="1" t="inlineStr">
        <is>
          <t>纽约</t>
        </is>
      </c>
      <c r="C409" s="1" t="inlineStr">
        <is>
          <t>Y15纽约海卡</t>
        </is>
      </c>
      <c r="D409" s="1" t="inlineStr">
        <is>
          <t>义乌</t>
        </is>
      </c>
      <c r="E409" s="1" t="inlineStr">
        <is>
          <t>TEB9</t>
        </is>
      </c>
      <c r="F409" s="134" t="n">
        <v>9.58</v>
      </c>
      <c r="G409" s="1" t="inlineStr">
        <is>
          <t>RMB/KG</t>
        </is>
      </c>
      <c r="H409" s="134" t="n">
        <v>0</v>
      </c>
      <c r="I409" s="1" t="inlineStr">
        <is>
          <t>2026-10-26</t>
        </is>
      </c>
      <c r="J409" s="1" t="inlineStr">
        <is>
          <t>凯琦FBA报价_当期.xlsx</t>
        </is>
      </c>
    </row>
    <row r="410">
      <c r="A410" s="1" t="inlineStr">
        <is>
          <t>纽约</t>
        </is>
      </c>
      <c r="B410" s="1" t="inlineStr">
        <is>
          <t>纽约</t>
        </is>
      </c>
      <c r="C410" s="1" t="inlineStr">
        <is>
          <t>Y15纽约海卡</t>
        </is>
      </c>
      <c r="D410" s="1" t="inlineStr">
        <is>
          <t>义乌</t>
        </is>
      </c>
      <c r="E410" s="1" t="inlineStr">
        <is>
          <t>ABE3</t>
        </is>
      </c>
      <c r="F410" s="134" t="n">
        <v>9.68</v>
      </c>
      <c r="G410" s="1" t="inlineStr">
        <is>
          <t>RMB/KG</t>
        </is>
      </c>
      <c r="H410" s="134" t="n">
        <v>0</v>
      </c>
      <c r="I410" s="1" t="inlineStr">
        <is>
          <t>2026-10-26</t>
        </is>
      </c>
      <c r="J410" s="1" t="inlineStr">
        <is>
          <t>凯琦FBA报价_当期.xlsx</t>
        </is>
      </c>
    </row>
    <row r="411">
      <c r="A411" s="1" t="inlineStr">
        <is>
          <t>纽约</t>
        </is>
      </c>
      <c r="B411" s="1" t="inlineStr">
        <is>
          <t>纽约</t>
        </is>
      </c>
      <c r="C411" s="1" t="inlineStr">
        <is>
          <t>Y15纽约海卡</t>
        </is>
      </c>
      <c r="D411" s="1" t="inlineStr">
        <is>
          <t>义乌</t>
        </is>
      </c>
      <c r="E411" s="1" t="inlineStr">
        <is>
          <t>ABE4</t>
        </is>
      </c>
      <c r="F411" s="134" t="n">
        <v>9.68</v>
      </c>
      <c r="G411" s="1" t="inlineStr">
        <is>
          <t>RMB/KG</t>
        </is>
      </c>
      <c r="H411" s="134" t="n">
        <v>0</v>
      </c>
      <c r="I411" s="1" t="inlineStr">
        <is>
          <t>2026-10-26</t>
        </is>
      </c>
      <c r="J411" s="1" t="inlineStr">
        <is>
          <t>凯琦FBA报价_当期.xlsx</t>
        </is>
      </c>
    </row>
    <row r="412">
      <c r="A412" s="1" t="inlineStr">
        <is>
          <t>纽约</t>
        </is>
      </c>
      <c r="B412" s="1" t="inlineStr">
        <is>
          <t>纽约</t>
        </is>
      </c>
      <c r="C412" s="1" t="inlineStr">
        <is>
          <t>Y15纽约海卡</t>
        </is>
      </c>
      <c r="D412" s="1" t="inlineStr">
        <is>
          <t>义乌</t>
        </is>
      </c>
      <c r="E412" s="1" t="inlineStr">
        <is>
          <t>ABE8</t>
        </is>
      </c>
      <c r="F412" s="134" t="n">
        <v>9.58</v>
      </c>
      <c r="G412" s="1" t="inlineStr">
        <is>
          <t>RMB/KG</t>
        </is>
      </c>
      <c r="H412" s="134" t="n">
        <v>0</v>
      </c>
      <c r="I412" s="1" t="inlineStr">
        <is>
          <t>2026-10-26</t>
        </is>
      </c>
      <c r="J412" s="1" t="inlineStr">
        <is>
          <t>凯琦FBA报价_当期.xlsx</t>
        </is>
      </c>
    </row>
    <row r="413">
      <c r="A413" s="1" t="inlineStr">
        <is>
          <t>纽约</t>
        </is>
      </c>
      <c r="B413" s="1" t="inlineStr">
        <is>
          <t>纽约</t>
        </is>
      </c>
      <c r="C413" s="1" t="inlineStr">
        <is>
          <t>Y15纽约海卡</t>
        </is>
      </c>
      <c r="D413" s="1" t="inlineStr">
        <is>
          <t>义乌</t>
        </is>
      </c>
      <c r="E413" s="1" t="inlineStr">
        <is>
          <t>ACY2</t>
        </is>
      </c>
      <c r="F413" s="134" t="n">
        <v>9.58</v>
      </c>
      <c r="G413" s="1" t="inlineStr">
        <is>
          <t>RMB/KG</t>
        </is>
      </c>
      <c r="H413" s="134" t="n">
        <v>0</v>
      </c>
      <c r="I413" s="1" t="inlineStr">
        <is>
          <t>2026-10-26</t>
        </is>
      </c>
      <c r="J413" s="1" t="inlineStr">
        <is>
          <t>凯琦FBA报价_当期.xlsx</t>
        </is>
      </c>
    </row>
    <row r="414">
      <c r="A414" s="1" t="inlineStr">
        <is>
          <t>纽约</t>
        </is>
      </c>
      <c r="B414" s="1" t="inlineStr">
        <is>
          <t>纽约</t>
        </is>
      </c>
      <c r="C414" s="1" t="inlineStr">
        <is>
          <t>Y15纽约海卡</t>
        </is>
      </c>
      <c r="D414" s="1" t="inlineStr">
        <is>
          <t>义乌</t>
        </is>
      </c>
      <c r="E414" s="1" t="inlineStr">
        <is>
          <t>ILG1</t>
        </is>
      </c>
      <c r="F414" s="134" t="n">
        <v>10.08</v>
      </c>
      <c r="G414" s="1" t="inlineStr">
        <is>
          <t>RMB/KG</t>
        </is>
      </c>
      <c r="H414" s="134" t="n">
        <v>0</v>
      </c>
      <c r="I414" s="1" t="inlineStr">
        <is>
          <t>2026-10-26</t>
        </is>
      </c>
      <c r="J414" s="1" t="inlineStr">
        <is>
          <t>凯琦FBA报价_当期.xlsx</t>
        </is>
      </c>
    </row>
    <row r="415">
      <c r="A415" s="1" t="inlineStr">
        <is>
          <t>纽约</t>
        </is>
      </c>
      <c r="B415" s="1" t="inlineStr">
        <is>
          <t>纽约</t>
        </is>
      </c>
      <c r="C415" s="1" t="inlineStr">
        <is>
          <t>Y15纽约海卡</t>
        </is>
      </c>
      <c r="D415" s="1" t="inlineStr">
        <is>
          <t>义乌</t>
        </is>
      </c>
      <c r="E415" s="1" t="inlineStr">
        <is>
          <t>HEA2</t>
        </is>
      </c>
      <c r="F415" s="134" t="n">
        <v>9.779999999999999</v>
      </c>
      <c r="G415" s="1" t="inlineStr">
        <is>
          <t>RMB/KG</t>
        </is>
      </c>
      <c r="H415" s="134" t="n">
        <v>0</v>
      </c>
      <c r="I415" s="1" t="inlineStr">
        <is>
          <t>2026-10-26</t>
        </is>
      </c>
      <c r="J415" s="1" t="inlineStr">
        <is>
          <t>凯琦FBA报价_当期.xlsx</t>
        </is>
      </c>
    </row>
    <row r="416">
      <c r="A416" s="1" t="inlineStr">
        <is>
          <t>纽约</t>
        </is>
      </c>
      <c r="B416" s="1" t="inlineStr">
        <is>
          <t>纽约</t>
        </is>
      </c>
      <c r="C416" s="1" t="inlineStr">
        <is>
          <t>Y15纽约海卡</t>
        </is>
      </c>
      <c r="D416" s="1" t="inlineStr">
        <is>
          <t>义乌</t>
        </is>
      </c>
      <c r="E416" s="1" t="inlineStr">
        <is>
          <t>IPA1</t>
        </is>
      </c>
      <c r="F416" s="134" t="n">
        <v>9.98</v>
      </c>
      <c r="G416" s="1" t="inlineStr">
        <is>
          <t>RMB/KG</t>
        </is>
      </c>
      <c r="H416" s="134" t="n">
        <v>0</v>
      </c>
      <c r="I416" s="1" t="inlineStr">
        <is>
          <t>2026-10-26</t>
        </is>
      </c>
      <c r="J416" s="1" t="inlineStr">
        <is>
          <t>凯琦FBA报价_当期.xlsx</t>
        </is>
      </c>
    </row>
    <row r="417">
      <c r="A417" s="1" t="inlineStr">
        <is>
          <t>纽约</t>
        </is>
      </c>
      <c r="B417" s="1" t="inlineStr">
        <is>
          <t>纽约</t>
        </is>
      </c>
      <c r="C417" s="1" t="inlineStr">
        <is>
          <t>Y15纽约海卡</t>
        </is>
      </c>
      <c r="D417" s="1" t="inlineStr">
        <is>
          <t>义乌</t>
        </is>
      </c>
      <c r="E417" s="1" t="inlineStr">
        <is>
          <t>AVP1</t>
        </is>
      </c>
      <c r="F417" s="134" t="n">
        <v>9.880000000000001</v>
      </c>
      <c r="G417" s="1" t="inlineStr">
        <is>
          <t>RMB/KG</t>
        </is>
      </c>
      <c r="H417" s="134" t="n">
        <v>0</v>
      </c>
      <c r="I417" s="1" t="inlineStr">
        <is>
          <t>2026-10-26</t>
        </is>
      </c>
      <c r="J417" s="1" t="inlineStr">
        <is>
          <t>凯琦FBA报价_当期.xlsx</t>
        </is>
      </c>
    </row>
    <row r="418">
      <c r="A418" s="1" t="inlineStr">
        <is>
          <t>纽约</t>
        </is>
      </c>
      <c r="B418" s="1" t="inlineStr">
        <is>
          <t>纽约</t>
        </is>
      </c>
      <c r="C418" s="1" t="inlineStr">
        <is>
          <t>Y15纽约海卡</t>
        </is>
      </c>
      <c r="D418" s="1" t="inlineStr">
        <is>
          <t>义乌</t>
        </is>
      </c>
      <c r="E418" s="1" t="inlineStr">
        <is>
          <t>AVP9</t>
        </is>
      </c>
      <c r="F418" s="134" t="n">
        <v>9.880000000000001</v>
      </c>
      <c r="G418" s="1" t="inlineStr">
        <is>
          <t>RMB/KG</t>
        </is>
      </c>
      <c r="H418" s="134" t="n">
        <v>0</v>
      </c>
      <c r="I418" s="1" t="inlineStr">
        <is>
          <t>2026-10-26</t>
        </is>
      </c>
      <c r="J418" s="1" t="inlineStr">
        <is>
          <t>凯琦FBA报价_当期.xlsx</t>
        </is>
      </c>
    </row>
    <row r="419">
      <c r="A419" s="1" t="inlineStr">
        <is>
          <t>纽约</t>
        </is>
      </c>
      <c r="B419" s="1" t="inlineStr">
        <is>
          <t>纽约</t>
        </is>
      </c>
      <c r="C419" s="1" t="inlineStr">
        <is>
          <t>Y15纽约海卡</t>
        </is>
      </c>
      <c r="D419" s="1" t="inlineStr">
        <is>
          <t>义乌</t>
        </is>
      </c>
      <c r="E419" s="1" t="inlineStr">
        <is>
          <t>XEW5</t>
        </is>
      </c>
      <c r="F419" s="134" t="n">
        <v>9.880000000000001</v>
      </c>
      <c r="G419" s="1" t="inlineStr">
        <is>
          <t>RMB/KG</t>
        </is>
      </c>
      <c r="H419" s="134" t="n">
        <v>0</v>
      </c>
      <c r="I419" s="1" t="inlineStr">
        <is>
          <t>2026-10-26</t>
        </is>
      </c>
      <c r="J419" s="1" t="inlineStr">
        <is>
          <t>凯琦FBA报价_当期.xlsx</t>
        </is>
      </c>
    </row>
    <row r="420">
      <c r="A420" s="1" t="inlineStr">
        <is>
          <t>纽约</t>
        </is>
      </c>
      <c r="B420" s="1" t="inlineStr">
        <is>
          <t>纽约</t>
        </is>
      </c>
      <c r="C420" s="1" t="inlineStr">
        <is>
          <t>Y15纽约海卡</t>
        </is>
      </c>
      <c r="D420" s="1" t="inlineStr">
        <is>
          <t>义乌</t>
        </is>
      </c>
      <c r="E420" s="1" t="inlineStr">
        <is>
          <t>SWF1</t>
        </is>
      </c>
      <c r="F420" s="134" t="n">
        <v>9.880000000000001</v>
      </c>
      <c r="G420" s="1" t="inlineStr">
        <is>
          <t>RMB/KG</t>
        </is>
      </c>
      <c r="H420" s="134" t="n">
        <v>0</v>
      </c>
      <c r="I420" s="1" t="inlineStr">
        <is>
          <t>2026-10-26</t>
        </is>
      </c>
      <c r="J420" s="1" t="inlineStr">
        <is>
          <t>凯琦FBA报价_当期.xlsx</t>
        </is>
      </c>
    </row>
    <row r="421">
      <c r="A421" s="1" t="inlineStr">
        <is>
          <t>纽约</t>
        </is>
      </c>
      <c r="B421" s="1" t="inlineStr">
        <is>
          <t>纽约</t>
        </is>
      </c>
      <c r="C421" s="1" t="inlineStr">
        <is>
          <t>Y15纽约海卡</t>
        </is>
      </c>
      <c r="D421" s="1" t="inlineStr">
        <is>
          <t>义乌</t>
        </is>
      </c>
      <c r="E421" s="1" t="inlineStr">
        <is>
          <t>SWF2</t>
        </is>
      </c>
      <c r="F421" s="134" t="n">
        <v>9.880000000000001</v>
      </c>
      <c r="G421" s="1" t="inlineStr">
        <is>
          <t>RMB/KG</t>
        </is>
      </c>
      <c r="H421" s="134" t="n">
        <v>0</v>
      </c>
      <c r="I421" s="1" t="inlineStr">
        <is>
          <t>2026-10-26</t>
        </is>
      </c>
      <c r="J421" s="1" t="inlineStr">
        <is>
          <t>凯琦FBA报价_当期.xlsx</t>
        </is>
      </c>
    </row>
    <row r="422">
      <c r="A422" s="1" t="inlineStr">
        <is>
          <t>纽约</t>
        </is>
      </c>
      <c r="B422" s="1" t="inlineStr">
        <is>
          <t>纽约</t>
        </is>
      </c>
      <c r="C422" s="1" t="inlineStr">
        <is>
          <t>Y15纽约海卡</t>
        </is>
      </c>
      <c r="D422" s="1" t="inlineStr">
        <is>
          <t>义乌</t>
        </is>
      </c>
      <c r="E422" s="1" t="inlineStr">
        <is>
          <t>MDT1</t>
        </is>
      </c>
      <c r="F422" s="134" t="n">
        <v>9.880000000000001</v>
      </c>
      <c r="G422" s="1" t="inlineStr">
        <is>
          <t>RMB/KG</t>
        </is>
      </c>
      <c r="H422" s="134" t="n">
        <v>0</v>
      </c>
      <c r="I422" s="1" t="inlineStr">
        <is>
          <t>2026-10-26</t>
        </is>
      </c>
      <c r="J422" s="1" t="inlineStr">
        <is>
          <t>凯琦FBA报价_当期.xlsx</t>
        </is>
      </c>
    </row>
    <row r="423">
      <c r="A423" s="1" t="inlineStr">
        <is>
          <t>纽约</t>
        </is>
      </c>
      <c r="B423" s="1" t="inlineStr">
        <is>
          <t>纽约</t>
        </is>
      </c>
      <c r="C423" s="1" t="inlineStr">
        <is>
          <t>Y15纽约海卡</t>
        </is>
      </c>
      <c r="D423" s="1" t="inlineStr">
        <is>
          <t>义乌</t>
        </is>
      </c>
      <c r="E423" s="1" t="inlineStr">
        <is>
          <t>MDT4</t>
        </is>
      </c>
      <c r="F423" s="134" t="n">
        <v>9.880000000000001</v>
      </c>
      <c r="G423" s="1" t="inlineStr">
        <is>
          <t>RMB/KG</t>
        </is>
      </c>
      <c r="H423" s="134" t="n">
        <v>0</v>
      </c>
      <c r="I423" s="1" t="inlineStr">
        <is>
          <t>2026-10-26</t>
        </is>
      </c>
      <c r="J423" s="1" t="inlineStr">
        <is>
          <t>凯琦FBA报价_当期.xlsx</t>
        </is>
      </c>
    </row>
    <row r="424">
      <c r="A424" s="1" t="inlineStr">
        <is>
          <t>纽约</t>
        </is>
      </c>
      <c r="B424" s="1" t="inlineStr">
        <is>
          <t>纽约</t>
        </is>
      </c>
      <c r="C424" s="1" t="inlineStr">
        <is>
          <t>Y15纽约海卡</t>
        </is>
      </c>
      <c r="D424" s="1" t="inlineStr">
        <is>
          <t>义乌</t>
        </is>
      </c>
      <c r="E424" s="1" t="inlineStr">
        <is>
          <t>DCA6</t>
        </is>
      </c>
      <c r="F424" s="134" t="n">
        <v>10.08</v>
      </c>
      <c r="G424" s="1" t="inlineStr">
        <is>
          <t>RMB/KG</t>
        </is>
      </c>
      <c r="H424" s="134" t="n">
        <v>0</v>
      </c>
      <c r="I424" s="1" t="inlineStr">
        <is>
          <t>2026-10-26</t>
        </is>
      </c>
      <c r="J424" s="1" t="inlineStr">
        <is>
          <t>凯琦FBA报价_当期.xlsx</t>
        </is>
      </c>
    </row>
    <row r="425">
      <c r="A425" s="1" t="inlineStr">
        <is>
          <t>纽约</t>
        </is>
      </c>
      <c r="B425" s="1" t="inlineStr">
        <is>
          <t>纽约</t>
        </is>
      </c>
      <c r="C425" s="1" t="inlineStr">
        <is>
          <t>Y15纽约海卡</t>
        </is>
      </c>
      <c r="D425" s="1" t="inlineStr">
        <is>
          <t>义乌</t>
        </is>
      </c>
      <c r="E425" s="1" t="inlineStr">
        <is>
          <t>TTN2</t>
        </is>
      </c>
      <c r="F425" s="134" t="n">
        <v>9.779999999999999</v>
      </c>
      <c r="G425" s="1" t="inlineStr">
        <is>
          <t>RMB/KG</t>
        </is>
      </c>
      <c r="H425" s="134" t="n">
        <v>0</v>
      </c>
      <c r="I425" s="1" t="inlineStr">
        <is>
          <t>2026-10-26</t>
        </is>
      </c>
      <c r="J425" s="1" t="inlineStr">
        <is>
          <t>凯琦FBA报价_当期.xlsx</t>
        </is>
      </c>
    </row>
    <row r="426">
      <c r="A426" s="1" t="inlineStr">
        <is>
          <t>纽约</t>
        </is>
      </c>
      <c r="B426" s="1" t="inlineStr">
        <is>
          <t>纽约</t>
        </is>
      </c>
      <c r="C426" s="1" t="inlineStr">
        <is>
          <t>Y15纽约海卡</t>
        </is>
      </c>
      <c r="D426" s="1" t="inlineStr">
        <is>
          <t>义乌</t>
        </is>
      </c>
      <c r="E426" s="1" t="inlineStr">
        <is>
          <t>HIA1</t>
        </is>
      </c>
      <c r="F426" s="134" t="n">
        <v>10.18</v>
      </c>
      <c r="G426" s="1" t="inlineStr">
        <is>
          <t>RMB/KG</t>
        </is>
      </c>
      <c r="H426" s="134" t="n">
        <v>0</v>
      </c>
      <c r="I426" s="1" t="inlineStr">
        <is>
          <t>2026-10-26</t>
        </is>
      </c>
      <c r="J426" s="1" t="inlineStr">
        <is>
          <t>凯琦FBA报价_当期.xlsx</t>
        </is>
      </c>
    </row>
    <row r="427">
      <c r="A427" s="1" t="inlineStr">
        <is>
          <t>纽约</t>
        </is>
      </c>
      <c r="B427" s="1" t="inlineStr">
        <is>
          <t>纽约</t>
        </is>
      </c>
      <c r="C427" s="1" t="inlineStr">
        <is>
          <t>Y15纽约海卡</t>
        </is>
      </c>
      <c r="D427" s="1" t="inlineStr">
        <is>
          <t>义乌</t>
        </is>
      </c>
      <c r="E427" s="1" t="inlineStr">
        <is>
          <t>LBE1</t>
        </is>
      </c>
      <c r="F427" s="134" t="n">
        <v>10.18</v>
      </c>
      <c r="G427" s="1" t="inlineStr">
        <is>
          <t>RMB/KG</t>
        </is>
      </c>
      <c r="H427" s="134" t="n">
        <v>0</v>
      </c>
      <c r="I427" s="1" t="inlineStr">
        <is>
          <t>2026-10-26</t>
        </is>
      </c>
      <c r="J427" s="1" t="inlineStr">
        <is>
          <t>凯琦FBA报价_当期.xlsx</t>
        </is>
      </c>
    </row>
    <row r="428">
      <c r="A428" s="1" t="inlineStr">
        <is>
          <t>纽约</t>
        </is>
      </c>
      <c r="B428" s="1" t="inlineStr">
        <is>
          <t>纽约</t>
        </is>
      </c>
      <c r="C428" s="1" t="inlineStr">
        <is>
          <t>Y15纽约海卡</t>
        </is>
      </c>
      <c r="D428" s="1" t="inlineStr">
        <is>
          <t>义乌</t>
        </is>
      </c>
      <c r="E428" s="1" t="inlineStr">
        <is>
          <t>ALB1</t>
        </is>
      </c>
      <c r="F428" s="134" t="n">
        <v>10.18</v>
      </c>
      <c r="G428" s="1" t="inlineStr">
        <is>
          <t>RMB/KG</t>
        </is>
      </c>
      <c r="H428" s="134" t="n">
        <v>0</v>
      </c>
      <c r="I428" s="1" t="inlineStr">
        <is>
          <t>2026-10-26</t>
        </is>
      </c>
      <c r="J428" s="1" t="inlineStr">
        <is>
          <t>凯琦FBA报价_当期.xlsx</t>
        </is>
      </c>
    </row>
    <row r="429">
      <c r="A429" s="1" t="inlineStr">
        <is>
          <t>纽约</t>
        </is>
      </c>
      <c r="B429" s="1" t="inlineStr">
        <is>
          <t>纽约</t>
        </is>
      </c>
      <c r="C429" s="1" t="inlineStr">
        <is>
          <t>Y15纽约海卡</t>
        </is>
      </c>
      <c r="D429" s="1" t="inlineStr">
        <is>
          <t>义乌</t>
        </is>
      </c>
      <c r="E429" s="1" t="inlineStr">
        <is>
          <t>PIT2</t>
        </is>
      </c>
      <c r="F429" s="134" t="n">
        <v>10.18</v>
      </c>
      <c r="G429" s="1" t="inlineStr">
        <is>
          <t>RMB/KG</t>
        </is>
      </c>
      <c r="H429" s="134" t="n">
        <v>0</v>
      </c>
      <c r="I429" s="1" t="inlineStr">
        <is>
          <t>2026-10-26</t>
        </is>
      </c>
      <c r="J429" s="1" t="inlineStr">
        <is>
          <t>凯琦FBA报价_当期.xlsx</t>
        </is>
      </c>
    </row>
    <row r="430">
      <c r="A430" s="1" t="inlineStr">
        <is>
          <t>纽约</t>
        </is>
      </c>
      <c r="B430" s="1" t="inlineStr">
        <is>
          <t>纽约</t>
        </is>
      </c>
      <c r="C430" s="1" t="inlineStr">
        <is>
          <t>Y15纽约海卡</t>
        </is>
      </c>
      <c r="D430" s="1" t="inlineStr">
        <is>
          <t>义乌</t>
        </is>
      </c>
      <c r="E430" s="1" t="inlineStr">
        <is>
          <t>XLX1</t>
        </is>
      </c>
      <c r="F430" s="134" t="n">
        <v>10.28</v>
      </c>
      <c r="G430" s="1" t="inlineStr">
        <is>
          <t>RMB/KG</t>
        </is>
      </c>
      <c r="H430" s="134" t="n">
        <v>0</v>
      </c>
      <c r="I430" s="1" t="inlineStr">
        <is>
          <t>2026-10-26</t>
        </is>
      </c>
      <c r="J430" s="1" t="inlineStr">
        <is>
          <t>凯琦FBA报价_当期.xlsx</t>
        </is>
      </c>
    </row>
    <row r="431">
      <c r="A431" s="1" t="inlineStr">
        <is>
          <t>纽约</t>
        </is>
      </c>
      <c r="B431" s="1" t="inlineStr">
        <is>
          <t>纽约</t>
        </is>
      </c>
      <c r="C431" s="1" t="inlineStr">
        <is>
          <t>Y15纽约海卡</t>
        </is>
      </c>
      <c r="D431" s="1" t="inlineStr">
        <is>
          <t>义乌</t>
        </is>
      </c>
      <c r="E431" s="1" t="inlineStr">
        <is>
          <t>HGR6</t>
        </is>
      </c>
      <c r="F431" s="134" t="n">
        <v>10.28</v>
      </c>
      <c r="G431" s="1" t="inlineStr">
        <is>
          <t>RMB/KG</t>
        </is>
      </c>
      <c r="H431" s="134" t="n">
        <v>0</v>
      </c>
      <c r="I431" s="1" t="inlineStr">
        <is>
          <t>2026-10-26</t>
        </is>
      </c>
      <c r="J431" s="1" t="inlineStr">
        <is>
          <t>凯琦FBA报价_当期.xlsx</t>
        </is>
      </c>
    </row>
    <row r="432">
      <c r="A432" s="1" t="inlineStr">
        <is>
          <t>纽约</t>
        </is>
      </c>
      <c r="B432" s="1" t="inlineStr">
        <is>
          <t>纽约</t>
        </is>
      </c>
      <c r="C432" s="1" t="inlineStr">
        <is>
          <t>Y15纽约海卡</t>
        </is>
      </c>
      <c r="D432" s="1" t="inlineStr">
        <is>
          <t>义乌</t>
        </is>
      </c>
      <c r="E432" s="1" t="inlineStr">
        <is>
          <t>BOS7</t>
        </is>
      </c>
      <c r="F432" s="134" t="n">
        <v>10.38</v>
      </c>
      <c r="G432" s="1" t="inlineStr">
        <is>
          <t>RMB/KG</t>
        </is>
      </c>
      <c r="H432" s="134" t="n">
        <v>0</v>
      </c>
      <c r="I432" s="1" t="inlineStr">
        <is>
          <t>2026-10-26</t>
        </is>
      </c>
      <c r="J432" s="1" t="inlineStr">
        <is>
          <t>凯琦FBA报价_当期.xlsx</t>
        </is>
      </c>
    </row>
    <row r="433">
      <c r="A433" s="1" t="inlineStr">
        <is>
          <t>纽约</t>
        </is>
      </c>
      <c r="B433" s="1" t="inlineStr">
        <is>
          <t>纽约</t>
        </is>
      </c>
      <c r="C433" s="1" t="inlineStr">
        <is>
          <t>Y15纽约海卡</t>
        </is>
      </c>
      <c r="D433" s="1" t="inlineStr">
        <is>
          <t>义乌</t>
        </is>
      </c>
      <c r="E433" s="1" t="inlineStr">
        <is>
          <t>BWI4</t>
        </is>
      </c>
      <c r="F433" s="134" t="n">
        <v>10.38</v>
      </c>
      <c r="G433" s="1" t="inlineStr">
        <is>
          <t>RMB/KG</t>
        </is>
      </c>
      <c r="H433" s="134" t="n">
        <v>0</v>
      </c>
      <c r="I433" s="1" t="inlineStr">
        <is>
          <t>2026-10-26</t>
        </is>
      </c>
      <c r="J433" s="1" t="inlineStr">
        <is>
          <t>凯琦FBA报价_当期.xlsx</t>
        </is>
      </c>
    </row>
    <row r="434">
      <c r="A434" s="1" t="inlineStr">
        <is>
          <t>纽约</t>
        </is>
      </c>
      <c r="B434" s="1" t="inlineStr">
        <is>
          <t>纽约</t>
        </is>
      </c>
      <c r="C434" s="1" t="inlineStr">
        <is>
          <t>Y15纽约海卡</t>
        </is>
      </c>
      <c r="D434" s="1" t="inlineStr">
        <is>
          <t>义乌</t>
        </is>
      </c>
      <c r="E434" s="1" t="inlineStr">
        <is>
          <t>BDL6</t>
        </is>
      </c>
      <c r="F434" s="134" t="n">
        <v>10.38</v>
      </c>
      <c r="G434" s="1" t="inlineStr">
        <is>
          <t>RMB/KG</t>
        </is>
      </c>
      <c r="H434" s="134" t="n">
        <v>0</v>
      </c>
      <c r="I434" s="1" t="inlineStr">
        <is>
          <t>2026-10-26</t>
        </is>
      </c>
      <c r="J434" s="1" t="inlineStr">
        <is>
          <t>凯琦FBA报价_当期.xlsx</t>
        </is>
      </c>
    </row>
    <row r="435">
      <c r="A435" s="1" t="inlineStr">
        <is>
          <t>纽约</t>
        </is>
      </c>
      <c r="B435" s="1" t="inlineStr">
        <is>
          <t>纽约</t>
        </is>
      </c>
      <c r="C435" s="1" t="inlineStr">
        <is>
          <t>Y15纽约海卡</t>
        </is>
      </c>
      <c r="D435" s="1" t="inlineStr">
        <is>
          <t>义乌</t>
        </is>
      </c>
      <c r="E435" s="1" t="inlineStr">
        <is>
          <t>CHO1</t>
        </is>
      </c>
      <c r="F435" s="134" t="n">
        <v>10.38</v>
      </c>
      <c r="G435" s="1" t="inlineStr">
        <is>
          <t>RMB/KG</t>
        </is>
      </c>
      <c r="H435" s="134" t="n">
        <v>0</v>
      </c>
      <c r="I435" s="1" t="inlineStr">
        <is>
          <t>2026-10-26</t>
        </is>
      </c>
      <c r="J435" s="1" t="inlineStr">
        <is>
          <t>凯琦FBA报价_当期.xlsx</t>
        </is>
      </c>
    </row>
    <row r="436">
      <c r="A436" s="1" t="inlineStr">
        <is>
          <t>纽约</t>
        </is>
      </c>
      <c r="B436" s="1" t="inlineStr">
        <is>
          <t>纽约</t>
        </is>
      </c>
      <c r="C436" s="1" t="inlineStr">
        <is>
          <t>Y15纽约海卡</t>
        </is>
      </c>
      <c r="D436" s="1" t="inlineStr">
        <is>
          <t>义乌</t>
        </is>
      </c>
      <c r="E436" s="1" t="inlineStr">
        <is>
          <t>XRI3</t>
        </is>
      </c>
      <c r="F436" s="134" t="n">
        <v>10.38</v>
      </c>
      <c r="G436" s="1" t="inlineStr">
        <is>
          <t>RMB/KG</t>
        </is>
      </c>
      <c r="H436" s="134" t="n">
        <v>0</v>
      </c>
      <c r="I436" s="1" t="inlineStr">
        <is>
          <t>2026-10-26</t>
        </is>
      </c>
      <c r="J436" s="1" t="inlineStr">
        <is>
          <t>凯琦FBA报价_当期.xlsx</t>
        </is>
      </c>
    </row>
    <row r="437">
      <c r="A437" s="1" t="inlineStr">
        <is>
          <t>纽约</t>
        </is>
      </c>
      <c r="B437" s="1" t="inlineStr">
        <is>
          <t>纽约</t>
        </is>
      </c>
      <c r="C437" s="1" t="inlineStr">
        <is>
          <t>Y15纽约海卡</t>
        </is>
      </c>
      <c r="D437" s="1" t="inlineStr">
        <is>
          <t>义乌</t>
        </is>
      </c>
      <c r="E437" s="1" t="inlineStr">
        <is>
          <t>ORF2</t>
        </is>
      </c>
      <c r="F437" s="134" t="n">
        <v>10.38</v>
      </c>
      <c r="G437" s="1" t="inlineStr">
        <is>
          <t>RMB/KG</t>
        </is>
      </c>
      <c r="H437" s="134" t="n">
        <v>0</v>
      </c>
      <c r="I437" s="1" t="inlineStr">
        <is>
          <t>2026-10-26</t>
        </is>
      </c>
      <c r="J437" s="1" t="inlineStr">
        <is>
          <t>凯琦FBA报价_当期.xlsx</t>
        </is>
      </c>
    </row>
    <row r="438">
      <c r="A438" s="1" t="inlineStr">
        <is>
          <t>纽约</t>
        </is>
      </c>
      <c r="B438" s="1" t="inlineStr">
        <is>
          <t>纽约</t>
        </is>
      </c>
      <c r="C438" s="1" t="inlineStr">
        <is>
          <t>Y15纽约海卡</t>
        </is>
      </c>
      <c r="D438" s="1" t="inlineStr">
        <is>
          <t>义乌</t>
        </is>
      </c>
      <c r="E438" s="1" t="inlineStr">
        <is>
          <t>RMN3</t>
        </is>
      </c>
      <c r="F438" s="134" t="n">
        <v>10.38</v>
      </c>
      <c r="G438" s="1" t="inlineStr">
        <is>
          <t>RMB/KG</t>
        </is>
      </c>
      <c r="H438" s="134" t="n">
        <v>0</v>
      </c>
      <c r="I438" s="1" t="inlineStr">
        <is>
          <t>2026-10-26</t>
        </is>
      </c>
      <c r="J438" s="1" t="inlineStr">
        <is>
          <t>凯琦FBA报价_当期.xlsx</t>
        </is>
      </c>
    </row>
    <row r="439">
      <c r="A439" s="1" t="inlineStr">
        <is>
          <t>纽约</t>
        </is>
      </c>
      <c r="B439" s="1" t="inlineStr">
        <is>
          <t>纽约</t>
        </is>
      </c>
      <c r="C439" s="1" t="inlineStr">
        <is>
          <t>Y15纽约海卡</t>
        </is>
      </c>
      <c r="D439" s="1" t="inlineStr">
        <is>
          <t>义乌</t>
        </is>
      </c>
      <c r="E439" s="1" t="inlineStr">
        <is>
          <t>CLT2</t>
        </is>
      </c>
      <c r="F439" s="134" t="n">
        <v>10.58</v>
      </c>
      <c r="G439" s="1" t="inlineStr">
        <is>
          <t>RMB/KG</t>
        </is>
      </c>
      <c r="H439" s="134" t="n">
        <v>0</v>
      </c>
      <c r="I439" s="1" t="inlineStr">
        <is>
          <t>2026-10-26</t>
        </is>
      </c>
      <c r="J439" s="1" t="inlineStr">
        <is>
          <t>凯琦FBA报价_当期.xlsx</t>
        </is>
      </c>
    </row>
    <row r="440">
      <c r="A440" s="1" t="inlineStr">
        <is>
          <t>纽约</t>
        </is>
      </c>
      <c r="B440" s="1" t="inlineStr">
        <is>
          <t>纽约</t>
        </is>
      </c>
      <c r="C440" s="1" t="inlineStr">
        <is>
          <t>Y15纽约海卡</t>
        </is>
      </c>
      <c r="D440" s="1" t="inlineStr">
        <is>
          <t>义乌</t>
        </is>
      </c>
      <c r="E440" s="1" t="inlineStr">
        <is>
          <t>GSO1</t>
        </is>
      </c>
      <c r="F440" s="134" t="n">
        <v>10.58</v>
      </c>
      <c r="G440" s="1" t="inlineStr">
        <is>
          <t>RMB/KG</t>
        </is>
      </c>
      <c r="H440" s="134" t="n">
        <v>0</v>
      </c>
      <c r="I440" s="1" t="inlineStr">
        <is>
          <t>2026-10-26</t>
        </is>
      </c>
      <c r="J440" s="1" t="inlineStr">
        <is>
          <t>凯琦FBA报价_当期.xlsx</t>
        </is>
      </c>
    </row>
    <row r="441">
      <c r="A441" s="1" t="inlineStr">
        <is>
          <t>纽约</t>
        </is>
      </c>
      <c r="B441" s="1" t="inlineStr">
        <is>
          <t>纽约</t>
        </is>
      </c>
      <c r="C441" s="1" t="inlineStr">
        <is>
          <t>Y15纽约海卡</t>
        </is>
      </c>
      <c r="D441" s="1" t="inlineStr">
        <is>
          <t>义乌</t>
        </is>
      </c>
      <c r="E441" s="1" t="inlineStr">
        <is>
          <t>AKR1</t>
        </is>
      </c>
      <c r="F441" s="134" t="n">
        <v>10.58</v>
      </c>
      <c r="G441" s="1" t="inlineStr">
        <is>
          <t>RMB/KG</t>
        </is>
      </c>
      <c r="H441" s="134" t="n">
        <v>0</v>
      </c>
      <c r="I441" s="1" t="inlineStr">
        <is>
          <t>2026-10-26</t>
        </is>
      </c>
      <c r="J441" s="1" t="inlineStr">
        <is>
          <t>凯琦FBA报价_当期.xlsx</t>
        </is>
      </c>
    </row>
    <row r="442">
      <c r="A442" s="1" t="inlineStr">
        <is>
          <t>纽约</t>
        </is>
      </c>
      <c r="B442" s="1" t="inlineStr">
        <is>
          <t>纽约</t>
        </is>
      </c>
      <c r="C442" s="1" t="inlineStr">
        <is>
          <t>Y15纽约海卡</t>
        </is>
      </c>
      <c r="D442" s="1" t="inlineStr">
        <is>
          <t>义乌</t>
        </is>
      </c>
      <c r="E442" s="1" t="inlineStr">
        <is>
          <t>XLX6</t>
        </is>
      </c>
      <c r="F442" s="134" t="n">
        <v>10.58</v>
      </c>
      <c r="G442" s="1" t="inlineStr">
        <is>
          <t>RMB/KG</t>
        </is>
      </c>
      <c r="H442" s="134" t="n">
        <v>0</v>
      </c>
      <c r="I442" s="1" t="inlineStr">
        <is>
          <t>2026-10-26</t>
        </is>
      </c>
      <c r="J442" s="1" t="inlineStr">
        <is>
          <t>凯琦FBA报价_当期.xlsx</t>
        </is>
      </c>
    </row>
    <row r="443">
      <c r="A443" s="1" t="inlineStr">
        <is>
          <t>纽约</t>
        </is>
      </c>
      <c r="B443" s="1" t="inlineStr">
        <is>
          <t>纽约</t>
        </is>
      </c>
      <c r="C443" s="1" t="inlineStr">
        <is>
          <t>Y15纽约海卡</t>
        </is>
      </c>
      <c r="D443" s="1" t="inlineStr">
        <is>
          <t>义乌</t>
        </is>
      </c>
      <c r="E443" s="1" t="inlineStr">
        <is>
          <t>RDU2</t>
        </is>
      </c>
      <c r="F443" s="134" t="n">
        <v>10.58</v>
      </c>
      <c r="G443" s="1" t="inlineStr">
        <is>
          <t>RMB/KG</t>
        </is>
      </c>
      <c r="H443" s="134" t="n">
        <v>0</v>
      </c>
      <c r="I443" s="1" t="inlineStr">
        <is>
          <t>2026-10-26</t>
        </is>
      </c>
      <c r="J443" s="1" t="inlineStr">
        <is>
          <t>凯琦FBA报价_当期.xlsx</t>
        </is>
      </c>
    </row>
    <row r="444">
      <c r="A444" s="1" t="inlineStr">
        <is>
          <t>纽约</t>
        </is>
      </c>
      <c r="B444" s="1" t="inlineStr">
        <is>
          <t>纽约</t>
        </is>
      </c>
      <c r="C444" s="1" t="inlineStr">
        <is>
          <t>Y15纽约海卡</t>
        </is>
      </c>
      <c r="D444" s="1" t="inlineStr">
        <is>
          <t>义乌</t>
        </is>
      </c>
      <c r="E444" s="1" t="inlineStr">
        <is>
          <t>HGR2</t>
        </is>
      </c>
      <c r="F444" s="134" t="n">
        <v>10.28</v>
      </c>
      <c r="G444" s="1" t="inlineStr">
        <is>
          <t>RMB/KG</t>
        </is>
      </c>
      <c r="H444" s="134" t="n">
        <v>0</v>
      </c>
      <c r="I444" s="1" t="inlineStr">
        <is>
          <t>2026-10-26</t>
        </is>
      </c>
      <c r="J444" s="1" t="inlineStr">
        <is>
          <t>凯琦FBA报价_当期.xlsx</t>
        </is>
      </c>
    </row>
    <row r="445">
      <c r="A445" s="1" t="inlineStr">
        <is>
          <t>纽约</t>
        </is>
      </c>
      <c r="B445" s="1" t="inlineStr">
        <is>
          <t>纽约</t>
        </is>
      </c>
      <c r="C445" s="1" t="inlineStr">
        <is>
          <t>Y15纽约海卡</t>
        </is>
      </c>
      <c r="D445" s="1" t="inlineStr">
        <is>
          <t>义乌</t>
        </is>
      </c>
      <c r="E445" s="1" t="inlineStr">
        <is>
          <t>IUST</t>
        </is>
      </c>
      <c r="F445" s="134" t="n">
        <v>10.48</v>
      </c>
      <c r="G445" s="1" t="inlineStr">
        <is>
          <t>RMB/KG</t>
        </is>
      </c>
      <c r="H445" s="134" t="n">
        <v>0</v>
      </c>
      <c r="I445" s="1" t="inlineStr">
        <is>
          <t>2026-10-26</t>
        </is>
      </c>
      <c r="J445" s="1" t="inlineStr">
        <is>
          <t>凯琦FBA报价_当期.xlsx</t>
        </is>
      </c>
    </row>
    <row r="446">
      <c r="A446" s="1" t="inlineStr">
        <is>
          <t>纽约</t>
        </is>
      </c>
      <c r="B446" s="1" t="inlineStr">
        <is>
          <t>纽约</t>
        </is>
      </c>
      <c r="C446" s="1" t="inlineStr">
        <is>
          <t>Y15纽约海卡</t>
        </is>
      </c>
      <c r="D446" s="1" t="inlineStr">
        <is>
          <t>义乌</t>
        </is>
      </c>
      <c r="E446" s="1" t="inlineStr">
        <is>
          <t>XPH1</t>
        </is>
      </c>
      <c r="F446" s="134" t="n">
        <v>10.88</v>
      </c>
      <c r="G446" s="1" t="inlineStr">
        <is>
          <t>RMB/KG</t>
        </is>
      </c>
      <c r="H446" s="134" t="n">
        <v>0</v>
      </c>
      <c r="I446" s="1" t="inlineStr">
        <is>
          <t>2026-10-26</t>
        </is>
      </c>
      <c r="J446" s="1" t="inlineStr">
        <is>
          <t>凯琦FBA报价_当期.xlsx</t>
        </is>
      </c>
    </row>
    <row r="447">
      <c r="A447" s="1" t="inlineStr">
        <is>
          <t>纽约</t>
        </is>
      </c>
      <c r="B447" s="1" t="inlineStr">
        <is>
          <t>纽约</t>
        </is>
      </c>
      <c r="C447" s="1" t="inlineStr">
        <is>
          <t>Y15纽约海卡</t>
        </is>
      </c>
      <c r="D447" s="1" t="inlineStr">
        <is>
          <t>义乌</t>
        </is>
      </c>
      <c r="E447" s="1" t="inlineStr">
        <is>
          <t>IUSR</t>
        </is>
      </c>
      <c r="F447" s="134" t="n">
        <v>11.18</v>
      </c>
      <c r="G447" s="1" t="inlineStr">
        <is>
          <t>RMB/KG</t>
        </is>
      </c>
      <c r="H447" s="134" t="n">
        <v>0</v>
      </c>
      <c r="I447" s="1" t="inlineStr">
        <is>
          <t>2026-10-26</t>
        </is>
      </c>
      <c r="J447" s="1" t="inlineStr">
        <is>
          <t>凯琦FBA报价_当期.xlsx</t>
        </is>
      </c>
    </row>
    <row r="448">
      <c r="A448" s="1" t="inlineStr">
        <is>
          <t>纽约</t>
        </is>
      </c>
      <c r="B448" s="1" t="inlineStr">
        <is>
          <t>纽约</t>
        </is>
      </c>
      <c r="C448" s="1" t="inlineStr">
        <is>
          <t>Y15纽约海卡</t>
        </is>
      </c>
      <c r="D448" s="1" t="inlineStr">
        <is>
          <t>义乌</t>
        </is>
      </c>
      <c r="E448" s="1" t="inlineStr">
        <is>
          <t>BNA2</t>
        </is>
      </c>
      <c r="F448" s="134" t="n">
        <v>11.08</v>
      </c>
      <c r="G448" s="1" t="inlineStr">
        <is>
          <t>RMB/KG</t>
        </is>
      </c>
      <c r="H448" s="134" t="n">
        <v>0</v>
      </c>
      <c r="I448" s="1" t="inlineStr">
        <is>
          <t>2026-10-26</t>
        </is>
      </c>
      <c r="J448" s="1" t="inlineStr">
        <is>
          <t>凯琦FBA报价_当期.xlsx</t>
        </is>
      </c>
    </row>
    <row r="449">
      <c r="A449" s="1" t="inlineStr">
        <is>
          <t>纽约</t>
        </is>
      </c>
      <c r="B449" s="1" t="inlineStr">
        <is>
          <t>纽约</t>
        </is>
      </c>
      <c r="C449" s="1" t="inlineStr">
        <is>
          <t>Y15纽约海卡</t>
        </is>
      </c>
      <c r="D449" s="1" t="inlineStr">
        <is>
          <t>义乌</t>
        </is>
      </c>
      <c r="E449" s="1" t="inlineStr">
        <is>
          <t>CHA2</t>
        </is>
      </c>
      <c r="F449" s="134" t="n">
        <v>11.08</v>
      </c>
      <c r="G449" s="1" t="inlineStr">
        <is>
          <t>RMB/KG</t>
        </is>
      </c>
      <c r="H449" s="134" t="n">
        <v>0</v>
      </c>
      <c r="I449" s="1" t="inlineStr">
        <is>
          <t>2026-10-26</t>
        </is>
      </c>
      <c r="J449" s="1" t="inlineStr">
        <is>
          <t>凯琦FBA报价_当期.xlsx</t>
        </is>
      </c>
    </row>
    <row r="450">
      <c r="A450" s="1" t="inlineStr">
        <is>
          <t>纽约</t>
        </is>
      </c>
      <c r="B450" s="1" t="inlineStr">
        <is>
          <t>纽约</t>
        </is>
      </c>
      <c r="C450" s="1" t="inlineStr">
        <is>
          <t>Y15纽约海卡</t>
        </is>
      </c>
      <c r="D450" s="1" t="inlineStr">
        <is>
          <t>义乌</t>
        </is>
      </c>
      <c r="E450" s="1" t="inlineStr">
        <is>
          <t>BNA6</t>
        </is>
      </c>
      <c r="F450" s="134" t="n">
        <v>11.08</v>
      </c>
      <c r="G450" s="1" t="inlineStr">
        <is>
          <t>RMB/KG</t>
        </is>
      </c>
      <c r="H450" s="134" t="n">
        <v>0</v>
      </c>
      <c r="I450" s="1" t="inlineStr">
        <is>
          <t>2026-10-26</t>
        </is>
      </c>
      <c r="J450" s="1" t="inlineStr">
        <is>
          <t>凯琦FBA报价_当期.xlsx</t>
        </is>
      </c>
    </row>
    <row r="451">
      <c r="A451" s="1" t="inlineStr">
        <is>
          <t>纽约</t>
        </is>
      </c>
      <c r="B451" s="1" t="inlineStr">
        <is>
          <t>纽约</t>
        </is>
      </c>
      <c r="C451" s="1" t="inlineStr">
        <is>
          <t>Y15纽约海卡</t>
        </is>
      </c>
      <c r="D451" s="1" t="inlineStr">
        <is>
          <t>义乌</t>
        </is>
      </c>
      <c r="E451" s="1" t="inlineStr">
        <is>
          <t>MGE1</t>
        </is>
      </c>
      <c r="F451" s="134" t="n">
        <v>11.08</v>
      </c>
      <c r="G451" s="1" t="inlineStr">
        <is>
          <t>RMB/KG</t>
        </is>
      </c>
      <c r="H451" s="134" t="n">
        <v>0</v>
      </c>
      <c r="I451" s="1" t="inlineStr">
        <is>
          <t>2026-10-26</t>
        </is>
      </c>
      <c r="J451" s="1" t="inlineStr">
        <is>
          <t>凯琦FBA报价_当期.xlsx</t>
        </is>
      </c>
    </row>
    <row r="452">
      <c r="A452" s="1" t="inlineStr">
        <is>
          <t>纽约</t>
        </is>
      </c>
      <c r="B452" s="1" t="inlineStr">
        <is>
          <t>纽约</t>
        </is>
      </c>
      <c r="C452" s="1" t="inlineStr">
        <is>
          <t>Y15纽约海卡</t>
        </is>
      </c>
      <c r="D452" s="1" t="inlineStr">
        <is>
          <t>义乌</t>
        </is>
      </c>
      <c r="E452" s="1" t="inlineStr">
        <is>
          <t>HSV1</t>
        </is>
      </c>
      <c r="F452" s="134" t="n">
        <v>11.08</v>
      </c>
      <c r="G452" s="1" t="inlineStr">
        <is>
          <t>RMB/KG</t>
        </is>
      </c>
      <c r="H452" s="134" t="n">
        <v>0</v>
      </c>
      <c r="I452" s="1" t="inlineStr">
        <is>
          <t>2026-10-26</t>
        </is>
      </c>
      <c r="J452" s="1" t="inlineStr">
        <is>
          <t>凯琦FBA报价_当期.xlsx</t>
        </is>
      </c>
    </row>
    <row r="453">
      <c r="A453" s="1" t="inlineStr">
        <is>
          <t>纽约</t>
        </is>
      </c>
      <c r="B453" s="1" t="inlineStr">
        <is>
          <t>纽约</t>
        </is>
      </c>
      <c r="C453" s="1" t="inlineStr">
        <is>
          <t>Y15纽约海卡</t>
        </is>
      </c>
      <c r="D453" s="1" t="inlineStr">
        <is>
          <t>义乌</t>
        </is>
      </c>
      <c r="E453" s="1" t="inlineStr">
        <is>
          <t>CMH3</t>
        </is>
      </c>
      <c r="F453" s="134" t="n">
        <v>10.78</v>
      </c>
      <c r="G453" s="1" t="inlineStr">
        <is>
          <t>RMB/KG</t>
        </is>
      </c>
      <c r="H453" s="134" t="n">
        <v>0</v>
      </c>
      <c r="I453" s="1" t="inlineStr">
        <is>
          <t>2026-10-26</t>
        </is>
      </c>
      <c r="J453" s="1" t="inlineStr">
        <is>
          <t>凯琦FBA报价_当期.xlsx</t>
        </is>
      </c>
    </row>
    <row r="454">
      <c r="A454" s="1" t="inlineStr">
        <is>
          <t>纽约</t>
        </is>
      </c>
      <c r="B454" s="1" t="inlineStr">
        <is>
          <t>纽约</t>
        </is>
      </c>
      <c r="C454" s="1" t="inlineStr">
        <is>
          <t>Y15纽约海卡</t>
        </is>
      </c>
      <c r="D454" s="1" t="inlineStr">
        <is>
          <t>义乌</t>
        </is>
      </c>
      <c r="E454" s="1" t="inlineStr">
        <is>
          <t>CMH2</t>
        </is>
      </c>
      <c r="F454" s="134" t="n">
        <v>10.78</v>
      </c>
      <c r="G454" s="1" t="inlineStr">
        <is>
          <t>RMB/KG</t>
        </is>
      </c>
      <c r="H454" s="134" t="n">
        <v>0</v>
      </c>
      <c r="I454" s="1" t="inlineStr">
        <is>
          <t>2026-10-26</t>
        </is>
      </c>
      <c r="J454" s="1" t="inlineStr">
        <is>
          <t>凯琦FBA报价_当期.xlsx</t>
        </is>
      </c>
    </row>
    <row r="455">
      <c r="A455" s="1" t="inlineStr">
        <is>
          <t>纽约</t>
        </is>
      </c>
      <c r="B455" s="1" t="inlineStr">
        <is>
          <t>纽约</t>
        </is>
      </c>
      <c r="C455" s="1" t="inlineStr">
        <is>
          <t>Y15纽约海卡</t>
        </is>
      </c>
      <c r="D455" s="1" t="inlineStr">
        <is>
          <t>义乌</t>
        </is>
      </c>
      <c r="E455" s="1" t="inlineStr">
        <is>
          <t>CLT6</t>
        </is>
      </c>
      <c r="F455" s="134" t="n">
        <v>10.78</v>
      </c>
      <c r="G455" s="1" t="inlineStr">
        <is>
          <t>RMB/KG</t>
        </is>
      </c>
      <c r="H455" s="134" t="n">
        <v>0</v>
      </c>
      <c r="I455" s="1" t="inlineStr">
        <is>
          <t>2026-10-26</t>
        </is>
      </c>
      <c r="J455" s="1" t="inlineStr">
        <is>
          <t>凯琦FBA报价_当期.xlsx</t>
        </is>
      </c>
    </row>
    <row r="456">
      <c r="A456" s="1" t="inlineStr">
        <is>
          <t>纽约</t>
        </is>
      </c>
      <c r="B456" s="1" t="inlineStr">
        <is>
          <t>纽约</t>
        </is>
      </c>
      <c r="C456" s="1" t="inlineStr">
        <is>
          <t>Y15纽约海卡</t>
        </is>
      </c>
      <c r="D456" s="1" t="inlineStr">
        <is>
          <t>义乌</t>
        </is>
      </c>
      <c r="E456" s="1" t="inlineStr">
        <is>
          <t>RYY2</t>
        </is>
      </c>
      <c r="F456" s="134" t="n">
        <v>11.48</v>
      </c>
      <c r="G456" s="1" t="inlineStr">
        <is>
          <t>RMB/KG</t>
        </is>
      </c>
      <c r="H456" s="134" t="n">
        <v>0</v>
      </c>
      <c r="I456" s="1" t="inlineStr">
        <is>
          <t>2026-10-26</t>
        </is>
      </c>
      <c r="J456" s="1" t="inlineStr">
        <is>
          <t>凯琦FBA报价_当期.xlsx</t>
        </is>
      </c>
    </row>
    <row r="457">
      <c r="A457" s="1" t="inlineStr">
        <is>
          <t>纽约</t>
        </is>
      </c>
      <c r="B457" s="1" t="inlineStr">
        <is>
          <t>纽约</t>
        </is>
      </c>
      <c r="C457" s="1" t="inlineStr">
        <is>
          <t>Y15纽约海卡</t>
        </is>
      </c>
      <c r="D457" s="1" t="inlineStr">
        <is>
          <t>义乌</t>
        </is>
      </c>
      <c r="E457" s="1" t="inlineStr">
        <is>
          <t>MGE3</t>
        </is>
      </c>
      <c r="F457" s="134" t="n">
        <v>11.48</v>
      </c>
      <c r="G457" s="1" t="inlineStr">
        <is>
          <t>RMB/KG</t>
        </is>
      </c>
      <c r="H457" s="134" t="n">
        <v>0</v>
      </c>
      <c r="I457" s="1" t="inlineStr">
        <is>
          <t>2026-10-26</t>
        </is>
      </c>
      <c r="J457" s="1" t="inlineStr">
        <is>
          <t>凯琦FBA报价_当期.xlsx</t>
        </is>
      </c>
    </row>
    <row r="458">
      <c r="A458" s="1" t="inlineStr">
        <is>
          <t>纽约</t>
        </is>
      </c>
      <c r="B458" s="1" t="inlineStr">
        <is>
          <t>纽约</t>
        </is>
      </c>
      <c r="C458" s="1" t="inlineStr">
        <is>
          <t>Y15纽约海卡</t>
        </is>
      </c>
      <c r="D458" s="1" t="inlineStr">
        <is>
          <t>义乌</t>
        </is>
      </c>
      <c r="E458" s="1" t="inlineStr">
        <is>
          <t>MCO2</t>
        </is>
      </c>
      <c r="F458" s="134" t="n">
        <v>12.48</v>
      </c>
      <c r="G458" s="1" t="inlineStr">
        <is>
          <t>RMB/KG</t>
        </is>
      </c>
      <c r="H458" s="134" t="n">
        <v>0</v>
      </c>
      <c r="I458" s="1" t="inlineStr">
        <is>
          <t>2026-10-26</t>
        </is>
      </c>
      <c r="J458" s="1" t="inlineStr">
        <is>
          <t>凯琦FBA报价_当期.xlsx</t>
        </is>
      </c>
    </row>
    <row r="459">
      <c r="A459" s="1" t="inlineStr">
        <is>
          <t>纽约</t>
        </is>
      </c>
      <c r="B459" s="1" t="inlineStr">
        <is>
          <t>纽约</t>
        </is>
      </c>
      <c r="C459" s="1" t="inlineStr">
        <is>
          <t>Y15纽约海卡</t>
        </is>
      </c>
      <c r="D459" s="1" t="inlineStr">
        <is>
          <t>义乌</t>
        </is>
      </c>
      <c r="E459" s="1" t="inlineStr">
        <is>
          <t>TPA2</t>
        </is>
      </c>
      <c r="F459" s="134" t="n">
        <v>12.48</v>
      </c>
      <c r="G459" s="1" t="inlineStr">
        <is>
          <t>RMB/KG</t>
        </is>
      </c>
      <c r="H459" s="134" t="n">
        <v>0</v>
      </c>
      <c r="I459" s="1" t="inlineStr">
        <is>
          <t>2026-10-26</t>
        </is>
      </c>
      <c r="J459" s="1" t="inlineStr">
        <is>
          <t>凯琦FBA报价_当期.xlsx</t>
        </is>
      </c>
    </row>
    <row r="460">
      <c r="A460" s="1" t="inlineStr">
        <is>
          <t>纽约</t>
        </is>
      </c>
      <c r="B460" s="1" t="inlineStr">
        <is>
          <t>纽约</t>
        </is>
      </c>
      <c r="C460" s="1" t="inlineStr">
        <is>
          <t>Y15纽约海卡</t>
        </is>
      </c>
      <c r="D460" s="1" t="inlineStr">
        <is>
          <t>义乌</t>
        </is>
      </c>
      <c r="E460" s="1" t="inlineStr">
        <is>
          <t>TPA3</t>
        </is>
      </c>
      <c r="F460" s="134" t="n">
        <v>12.48</v>
      </c>
      <c r="G460" s="1" t="inlineStr">
        <is>
          <t>RMB/KG</t>
        </is>
      </c>
      <c r="H460" s="134" t="n">
        <v>0</v>
      </c>
      <c r="I460" s="1" t="inlineStr">
        <is>
          <t>2026-10-26</t>
        </is>
      </c>
      <c r="J460" s="1" t="inlineStr">
        <is>
          <t>凯琦FBA报价_当期.xlsx</t>
        </is>
      </c>
    </row>
    <row r="461">
      <c r="A461" s="1" t="inlineStr">
        <is>
          <t>纽约</t>
        </is>
      </c>
      <c r="B461" s="1" t="inlineStr">
        <is>
          <t>纽约</t>
        </is>
      </c>
      <c r="C461" s="1" t="inlineStr">
        <is>
          <t>Q15纽约海卡</t>
        </is>
      </c>
      <c r="D461" s="1" t="inlineStr">
        <is>
          <t>青岛</t>
        </is>
      </c>
      <c r="E461" s="1" t="inlineStr">
        <is>
          <t>TEB3</t>
        </is>
      </c>
      <c r="F461" s="134" t="n">
        <v>9.58</v>
      </c>
      <c r="G461" s="1" t="inlineStr">
        <is>
          <t>RMB/KG</t>
        </is>
      </c>
      <c r="H461" s="134" t="n">
        <v>0</v>
      </c>
      <c r="I461" s="1" t="inlineStr">
        <is>
          <t>2026-10-26</t>
        </is>
      </c>
      <c r="J461" s="1" t="inlineStr">
        <is>
          <t>凯琦FBA报价_当期.xlsx</t>
        </is>
      </c>
    </row>
    <row r="462">
      <c r="A462" s="1" t="inlineStr">
        <is>
          <t>纽约</t>
        </is>
      </c>
      <c r="B462" s="1" t="inlineStr">
        <is>
          <t>纽约</t>
        </is>
      </c>
      <c r="C462" s="1" t="inlineStr">
        <is>
          <t>Q15纽约海卡</t>
        </is>
      </c>
      <c r="D462" s="1" t="inlineStr">
        <is>
          <t>青岛</t>
        </is>
      </c>
      <c r="E462" s="1" t="inlineStr">
        <is>
          <t>TEB4</t>
        </is>
      </c>
      <c r="F462" s="134" t="n">
        <v>9.58</v>
      </c>
      <c r="G462" s="1" t="inlineStr">
        <is>
          <t>RMB/KG</t>
        </is>
      </c>
      <c r="H462" s="134" t="n">
        <v>0</v>
      </c>
      <c r="I462" s="1" t="inlineStr">
        <is>
          <t>2026-10-26</t>
        </is>
      </c>
      <c r="J462" s="1" t="inlineStr">
        <is>
          <t>凯琦FBA报价_当期.xlsx</t>
        </is>
      </c>
    </row>
    <row r="463">
      <c r="A463" s="1" t="inlineStr">
        <is>
          <t>纽约</t>
        </is>
      </c>
      <c r="B463" s="1" t="inlineStr">
        <is>
          <t>纽约</t>
        </is>
      </c>
      <c r="C463" s="1" t="inlineStr">
        <is>
          <t>Q15纽约海卡</t>
        </is>
      </c>
      <c r="D463" s="1" t="inlineStr">
        <is>
          <t>青岛</t>
        </is>
      </c>
      <c r="E463" s="1" t="inlineStr">
        <is>
          <t>TEB6</t>
        </is>
      </c>
      <c r="F463" s="134" t="n">
        <v>9.58</v>
      </c>
      <c r="G463" s="1" t="inlineStr">
        <is>
          <t>RMB/KG</t>
        </is>
      </c>
      <c r="H463" s="134" t="n">
        <v>0</v>
      </c>
      <c r="I463" s="1" t="inlineStr">
        <is>
          <t>2026-10-26</t>
        </is>
      </c>
      <c r="J463" s="1" t="inlineStr">
        <is>
          <t>凯琦FBA报价_当期.xlsx</t>
        </is>
      </c>
    </row>
    <row r="464">
      <c r="A464" s="1" t="inlineStr">
        <is>
          <t>纽约</t>
        </is>
      </c>
      <c r="B464" s="1" t="inlineStr">
        <is>
          <t>纽约</t>
        </is>
      </c>
      <c r="C464" s="1" t="inlineStr">
        <is>
          <t>Q15纽约海卡</t>
        </is>
      </c>
      <c r="D464" s="1" t="inlineStr">
        <is>
          <t>青岛</t>
        </is>
      </c>
      <c r="E464" s="1" t="inlineStr">
        <is>
          <t>TEB9</t>
        </is>
      </c>
      <c r="F464" s="134" t="n">
        <v>9.58</v>
      </c>
      <c r="G464" s="1" t="inlineStr">
        <is>
          <t>RMB/KG</t>
        </is>
      </c>
      <c r="H464" s="134" t="n">
        <v>0</v>
      </c>
      <c r="I464" s="1" t="inlineStr">
        <is>
          <t>2026-10-26</t>
        </is>
      </c>
      <c r="J464" s="1" t="inlineStr">
        <is>
          <t>凯琦FBA报价_当期.xlsx</t>
        </is>
      </c>
    </row>
    <row r="465">
      <c r="A465" s="1" t="inlineStr">
        <is>
          <t>纽约</t>
        </is>
      </c>
      <c r="B465" s="1" t="inlineStr">
        <is>
          <t>纽约</t>
        </is>
      </c>
      <c r="C465" s="1" t="inlineStr">
        <is>
          <t>Q15纽约海卡</t>
        </is>
      </c>
      <c r="D465" s="1" t="inlineStr">
        <is>
          <t>青岛</t>
        </is>
      </c>
      <c r="E465" s="1" t="inlineStr">
        <is>
          <t>ABE3</t>
        </is>
      </c>
      <c r="F465" s="134" t="n">
        <v>9.68</v>
      </c>
      <c r="G465" s="1" t="inlineStr">
        <is>
          <t>RMB/KG</t>
        </is>
      </c>
      <c r="H465" s="134" t="n">
        <v>0</v>
      </c>
      <c r="I465" s="1" t="inlineStr">
        <is>
          <t>2026-10-26</t>
        </is>
      </c>
      <c r="J465" s="1" t="inlineStr">
        <is>
          <t>凯琦FBA报价_当期.xlsx</t>
        </is>
      </c>
    </row>
    <row r="466">
      <c r="A466" s="1" t="inlineStr">
        <is>
          <t>纽约</t>
        </is>
      </c>
      <c r="B466" s="1" t="inlineStr">
        <is>
          <t>纽约</t>
        </is>
      </c>
      <c r="C466" s="1" t="inlineStr">
        <is>
          <t>Q15纽约海卡</t>
        </is>
      </c>
      <c r="D466" s="1" t="inlineStr">
        <is>
          <t>青岛</t>
        </is>
      </c>
      <c r="E466" s="1" t="inlineStr">
        <is>
          <t>ABE4</t>
        </is>
      </c>
      <c r="F466" s="134" t="n">
        <v>9.68</v>
      </c>
      <c r="G466" s="1" t="inlineStr">
        <is>
          <t>RMB/KG</t>
        </is>
      </c>
      <c r="H466" s="134" t="n">
        <v>0</v>
      </c>
      <c r="I466" s="1" t="inlineStr">
        <is>
          <t>2026-10-26</t>
        </is>
      </c>
      <c r="J466" s="1" t="inlineStr">
        <is>
          <t>凯琦FBA报价_当期.xlsx</t>
        </is>
      </c>
    </row>
    <row r="467">
      <c r="A467" s="1" t="inlineStr">
        <is>
          <t>纽约</t>
        </is>
      </c>
      <c r="B467" s="1" t="inlineStr">
        <is>
          <t>纽约</t>
        </is>
      </c>
      <c r="C467" s="1" t="inlineStr">
        <is>
          <t>Q15纽约海卡</t>
        </is>
      </c>
      <c r="D467" s="1" t="inlineStr">
        <is>
          <t>青岛</t>
        </is>
      </c>
      <c r="E467" s="1" t="inlineStr">
        <is>
          <t>ABE8</t>
        </is>
      </c>
      <c r="F467" s="134" t="n">
        <v>9.58</v>
      </c>
      <c r="G467" s="1" t="inlineStr">
        <is>
          <t>RMB/KG</t>
        </is>
      </c>
      <c r="H467" s="134" t="n">
        <v>0</v>
      </c>
      <c r="I467" s="1" t="inlineStr">
        <is>
          <t>2026-10-26</t>
        </is>
      </c>
      <c r="J467" s="1" t="inlineStr">
        <is>
          <t>凯琦FBA报价_当期.xlsx</t>
        </is>
      </c>
    </row>
    <row r="468">
      <c r="A468" s="1" t="inlineStr">
        <is>
          <t>纽约</t>
        </is>
      </c>
      <c r="B468" s="1" t="inlineStr">
        <is>
          <t>纽约</t>
        </is>
      </c>
      <c r="C468" s="1" t="inlineStr">
        <is>
          <t>Q15纽约海卡</t>
        </is>
      </c>
      <c r="D468" s="1" t="inlineStr">
        <is>
          <t>青岛</t>
        </is>
      </c>
      <c r="E468" s="1" t="inlineStr">
        <is>
          <t>ACY2</t>
        </is>
      </c>
      <c r="F468" s="134" t="n">
        <v>9.58</v>
      </c>
      <c r="G468" s="1" t="inlineStr">
        <is>
          <t>RMB/KG</t>
        </is>
      </c>
      <c r="H468" s="134" t="n">
        <v>0</v>
      </c>
      <c r="I468" s="1" t="inlineStr">
        <is>
          <t>2026-10-26</t>
        </is>
      </c>
      <c r="J468" s="1" t="inlineStr">
        <is>
          <t>凯琦FBA报价_当期.xlsx</t>
        </is>
      </c>
    </row>
    <row r="469">
      <c r="A469" s="1" t="inlineStr">
        <is>
          <t>纽约</t>
        </is>
      </c>
      <c r="B469" s="1" t="inlineStr">
        <is>
          <t>纽约</t>
        </is>
      </c>
      <c r="C469" s="1" t="inlineStr">
        <is>
          <t>Q15纽约海卡</t>
        </is>
      </c>
      <c r="D469" s="1" t="inlineStr">
        <is>
          <t>青岛</t>
        </is>
      </c>
      <c r="E469" s="1" t="inlineStr">
        <is>
          <t>ILG1</t>
        </is>
      </c>
      <c r="F469" s="134" t="n">
        <v>10.08</v>
      </c>
      <c r="G469" s="1" t="inlineStr">
        <is>
          <t>RMB/KG</t>
        </is>
      </c>
      <c r="H469" s="134" t="n">
        <v>0</v>
      </c>
      <c r="I469" s="1" t="inlineStr">
        <is>
          <t>2026-10-26</t>
        </is>
      </c>
      <c r="J469" s="1" t="inlineStr">
        <is>
          <t>凯琦FBA报价_当期.xlsx</t>
        </is>
      </c>
    </row>
    <row r="470">
      <c r="A470" s="1" t="inlineStr">
        <is>
          <t>纽约</t>
        </is>
      </c>
      <c r="B470" s="1" t="inlineStr">
        <is>
          <t>纽约</t>
        </is>
      </c>
      <c r="C470" s="1" t="inlineStr">
        <is>
          <t>Q15纽约海卡</t>
        </is>
      </c>
      <c r="D470" s="1" t="inlineStr">
        <is>
          <t>青岛</t>
        </is>
      </c>
      <c r="E470" s="1" t="inlineStr">
        <is>
          <t>HEA2</t>
        </is>
      </c>
      <c r="F470" s="134" t="n">
        <v>9.779999999999999</v>
      </c>
      <c r="G470" s="1" t="inlineStr">
        <is>
          <t>RMB/KG</t>
        </is>
      </c>
      <c r="H470" s="134" t="n">
        <v>0</v>
      </c>
      <c r="I470" s="1" t="inlineStr">
        <is>
          <t>2026-10-26</t>
        </is>
      </c>
      <c r="J470" s="1" t="inlineStr">
        <is>
          <t>凯琦FBA报价_当期.xlsx</t>
        </is>
      </c>
    </row>
    <row r="471">
      <c r="A471" s="1" t="inlineStr">
        <is>
          <t>纽约</t>
        </is>
      </c>
      <c r="B471" s="1" t="inlineStr">
        <is>
          <t>纽约</t>
        </is>
      </c>
      <c r="C471" s="1" t="inlineStr">
        <is>
          <t>Q15纽约海卡</t>
        </is>
      </c>
      <c r="D471" s="1" t="inlineStr">
        <is>
          <t>青岛</t>
        </is>
      </c>
      <c r="E471" s="1" t="inlineStr">
        <is>
          <t>IPA1</t>
        </is>
      </c>
      <c r="F471" s="134" t="n">
        <v>9.98</v>
      </c>
      <c r="G471" s="1" t="inlineStr">
        <is>
          <t>RMB/KG</t>
        </is>
      </c>
      <c r="H471" s="134" t="n">
        <v>0</v>
      </c>
      <c r="I471" s="1" t="inlineStr">
        <is>
          <t>2026-10-26</t>
        </is>
      </c>
      <c r="J471" s="1" t="inlineStr">
        <is>
          <t>凯琦FBA报价_当期.xlsx</t>
        </is>
      </c>
    </row>
    <row r="472">
      <c r="A472" s="1" t="inlineStr">
        <is>
          <t>纽约</t>
        </is>
      </c>
      <c r="B472" s="1" t="inlineStr">
        <is>
          <t>纽约</t>
        </is>
      </c>
      <c r="C472" s="1" t="inlineStr">
        <is>
          <t>Q15纽约海卡</t>
        </is>
      </c>
      <c r="D472" s="1" t="inlineStr">
        <is>
          <t>青岛</t>
        </is>
      </c>
      <c r="E472" s="1" t="inlineStr">
        <is>
          <t>AVP1</t>
        </is>
      </c>
      <c r="F472" s="134" t="n">
        <v>9.880000000000001</v>
      </c>
      <c r="G472" s="1" t="inlineStr">
        <is>
          <t>RMB/KG</t>
        </is>
      </c>
      <c r="H472" s="134" t="n">
        <v>0</v>
      </c>
      <c r="I472" s="1" t="inlineStr">
        <is>
          <t>2026-10-26</t>
        </is>
      </c>
      <c r="J472" s="1" t="inlineStr">
        <is>
          <t>凯琦FBA报价_当期.xlsx</t>
        </is>
      </c>
    </row>
    <row r="473">
      <c r="A473" s="1" t="inlineStr">
        <is>
          <t>纽约</t>
        </is>
      </c>
      <c r="B473" s="1" t="inlineStr">
        <is>
          <t>纽约</t>
        </is>
      </c>
      <c r="C473" s="1" t="inlineStr">
        <is>
          <t>Q15纽约海卡</t>
        </is>
      </c>
      <c r="D473" s="1" t="inlineStr">
        <is>
          <t>青岛</t>
        </is>
      </c>
      <c r="E473" s="1" t="inlineStr">
        <is>
          <t>AVP9</t>
        </is>
      </c>
      <c r="F473" s="134" t="n">
        <v>9.880000000000001</v>
      </c>
      <c r="G473" s="1" t="inlineStr">
        <is>
          <t>RMB/KG</t>
        </is>
      </c>
      <c r="H473" s="134" t="n">
        <v>0</v>
      </c>
      <c r="I473" s="1" t="inlineStr">
        <is>
          <t>2026-10-26</t>
        </is>
      </c>
      <c r="J473" s="1" t="inlineStr">
        <is>
          <t>凯琦FBA报价_当期.xlsx</t>
        </is>
      </c>
    </row>
    <row r="474">
      <c r="A474" s="1" t="inlineStr">
        <is>
          <t>纽约</t>
        </is>
      </c>
      <c r="B474" s="1" t="inlineStr">
        <is>
          <t>纽约</t>
        </is>
      </c>
      <c r="C474" s="1" t="inlineStr">
        <is>
          <t>Q15纽约海卡</t>
        </is>
      </c>
      <c r="D474" s="1" t="inlineStr">
        <is>
          <t>青岛</t>
        </is>
      </c>
      <c r="E474" s="1" t="inlineStr">
        <is>
          <t>XEW5</t>
        </is>
      </c>
      <c r="F474" s="134" t="n">
        <v>9.880000000000001</v>
      </c>
      <c r="G474" s="1" t="inlineStr">
        <is>
          <t>RMB/KG</t>
        </is>
      </c>
      <c r="H474" s="134" t="n">
        <v>0</v>
      </c>
      <c r="I474" s="1" t="inlineStr">
        <is>
          <t>2026-10-26</t>
        </is>
      </c>
      <c r="J474" s="1" t="inlineStr">
        <is>
          <t>凯琦FBA报价_当期.xlsx</t>
        </is>
      </c>
    </row>
    <row r="475">
      <c r="A475" s="1" t="inlineStr">
        <is>
          <t>纽约</t>
        </is>
      </c>
      <c r="B475" s="1" t="inlineStr">
        <is>
          <t>纽约</t>
        </is>
      </c>
      <c r="C475" s="1" t="inlineStr">
        <is>
          <t>Q15纽约海卡</t>
        </is>
      </c>
      <c r="D475" s="1" t="inlineStr">
        <is>
          <t>青岛</t>
        </is>
      </c>
      <c r="E475" s="1" t="inlineStr">
        <is>
          <t>SWF1</t>
        </is>
      </c>
      <c r="F475" s="134" t="n">
        <v>9.880000000000001</v>
      </c>
      <c r="G475" s="1" t="inlineStr">
        <is>
          <t>RMB/KG</t>
        </is>
      </c>
      <c r="H475" s="134" t="n">
        <v>0</v>
      </c>
      <c r="I475" s="1" t="inlineStr">
        <is>
          <t>2026-10-26</t>
        </is>
      </c>
      <c r="J475" s="1" t="inlineStr">
        <is>
          <t>凯琦FBA报价_当期.xlsx</t>
        </is>
      </c>
    </row>
    <row r="476">
      <c r="A476" s="1" t="inlineStr">
        <is>
          <t>纽约</t>
        </is>
      </c>
      <c r="B476" s="1" t="inlineStr">
        <is>
          <t>纽约</t>
        </is>
      </c>
      <c r="C476" s="1" t="inlineStr">
        <is>
          <t>Q15纽约海卡</t>
        </is>
      </c>
      <c r="D476" s="1" t="inlineStr">
        <is>
          <t>青岛</t>
        </is>
      </c>
      <c r="E476" s="1" t="inlineStr">
        <is>
          <t>SWF2</t>
        </is>
      </c>
      <c r="F476" s="134" t="n">
        <v>9.880000000000001</v>
      </c>
      <c r="G476" s="1" t="inlineStr">
        <is>
          <t>RMB/KG</t>
        </is>
      </c>
      <c r="H476" s="134" t="n">
        <v>0</v>
      </c>
      <c r="I476" s="1" t="inlineStr">
        <is>
          <t>2026-10-26</t>
        </is>
      </c>
      <c r="J476" s="1" t="inlineStr">
        <is>
          <t>凯琦FBA报价_当期.xlsx</t>
        </is>
      </c>
    </row>
    <row r="477">
      <c r="A477" s="1" t="inlineStr">
        <is>
          <t>纽约</t>
        </is>
      </c>
      <c r="B477" s="1" t="inlineStr">
        <is>
          <t>纽约</t>
        </is>
      </c>
      <c r="C477" s="1" t="inlineStr">
        <is>
          <t>Q15纽约海卡</t>
        </is>
      </c>
      <c r="D477" s="1" t="inlineStr">
        <is>
          <t>青岛</t>
        </is>
      </c>
      <c r="E477" s="1" t="inlineStr">
        <is>
          <t>MDT1</t>
        </is>
      </c>
      <c r="F477" s="134" t="n">
        <v>9.880000000000001</v>
      </c>
      <c r="G477" s="1" t="inlineStr">
        <is>
          <t>RMB/KG</t>
        </is>
      </c>
      <c r="H477" s="134" t="n">
        <v>0</v>
      </c>
      <c r="I477" s="1" t="inlineStr">
        <is>
          <t>2026-10-26</t>
        </is>
      </c>
      <c r="J477" s="1" t="inlineStr">
        <is>
          <t>凯琦FBA报价_当期.xlsx</t>
        </is>
      </c>
    </row>
    <row r="478">
      <c r="A478" s="1" t="inlineStr">
        <is>
          <t>纽约</t>
        </is>
      </c>
      <c r="B478" s="1" t="inlineStr">
        <is>
          <t>纽约</t>
        </is>
      </c>
      <c r="C478" s="1" t="inlineStr">
        <is>
          <t>Q15纽约海卡</t>
        </is>
      </c>
      <c r="D478" s="1" t="inlineStr">
        <is>
          <t>青岛</t>
        </is>
      </c>
      <c r="E478" s="1" t="inlineStr">
        <is>
          <t>MDT4</t>
        </is>
      </c>
      <c r="F478" s="134" t="n">
        <v>9.880000000000001</v>
      </c>
      <c r="G478" s="1" t="inlineStr">
        <is>
          <t>RMB/KG</t>
        </is>
      </c>
      <c r="H478" s="134" t="n">
        <v>0</v>
      </c>
      <c r="I478" s="1" t="inlineStr">
        <is>
          <t>2026-10-26</t>
        </is>
      </c>
      <c r="J478" s="1" t="inlineStr">
        <is>
          <t>凯琦FBA报价_当期.xlsx</t>
        </is>
      </c>
    </row>
    <row r="479">
      <c r="A479" s="1" t="inlineStr">
        <is>
          <t>纽约</t>
        </is>
      </c>
      <c r="B479" s="1" t="inlineStr">
        <is>
          <t>纽约</t>
        </is>
      </c>
      <c r="C479" s="1" t="inlineStr">
        <is>
          <t>Q15纽约海卡</t>
        </is>
      </c>
      <c r="D479" s="1" t="inlineStr">
        <is>
          <t>青岛</t>
        </is>
      </c>
      <c r="E479" s="1" t="inlineStr">
        <is>
          <t>DCA6</t>
        </is>
      </c>
      <c r="F479" s="134" t="n">
        <v>10.08</v>
      </c>
      <c r="G479" s="1" t="inlineStr">
        <is>
          <t>RMB/KG</t>
        </is>
      </c>
      <c r="H479" s="134" t="n">
        <v>0</v>
      </c>
      <c r="I479" s="1" t="inlineStr">
        <is>
          <t>2026-10-26</t>
        </is>
      </c>
      <c r="J479" s="1" t="inlineStr">
        <is>
          <t>凯琦FBA报价_当期.xlsx</t>
        </is>
      </c>
    </row>
    <row r="480">
      <c r="A480" s="1" t="inlineStr">
        <is>
          <t>纽约</t>
        </is>
      </c>
      <c r="B480" s="1" t="inlineStr">
        <is>
          <t>纽约</t>
        </is>
      </c>
      <c r="C480" s="1" t="inlineStr">
        <is>
          <t>Q15纽约海卡</t>
        </is>
      </c>
      <c r="D480" s="1" t="inlineStr">
        <is>
          <t>青岛</t>
        </is>
      </c>
      <c r="E480" s="1" t="inlineStr">
        <is>
          <t>TTN2</t>
        </is>
      </c>
      <c r="F480" s="134" t="n">
        <v>9.779999999999999</v>
      </c>
      <c r="G480" s="1" t="inlineStr">
        <is>
          <t>RMB/KG</t>
        </is>
      </c>
      <c r="H480" s="134" t="n">
        <v>0</v>
      </c>
      <c r="I480" s="1" t="inlineStr">
        <is>
          <t>2026-10-26</t>
        </is>
      </c>
      <c r="J480" s="1" t="inlineStr">
        <is>
          <t>凯琦FBA报价_当期.xlsx</t>
        </is>
      </c>
    </row>
    <row r="481">
      <c r="A481" s="1" t="inlineStr">
        <is>
          <t>纽约</t>
        </is>
      </c>
      <c r="B481" s="1" t="inlineStr">
        <is>
          <t>纽约</t>
        </is>
      </c>
      <c r="C481" s="1" t="inlineStr">
        <is>
          <t>Q15纽约海卡</t>
        </is>
      </c>
      <c r="D481" s="1" t="inlineStr">
        <is>
          <t>青岛</t>
        </is>
      </c>
      <c r="E481" s="1" t="inlineStr">
        <is>
          <t>HIA1</t>
        </is>
      </c>
      <c r="F481" s="134" t="n">
        <v>10.18</v>
      </c>
      <c r="G481" s="1" t="inlineStr">
        <is>
          <t>RMB/KG</t>
        </is>
      </c>
      <c r="H481" s="134" t="n">
        <v>0</v>
      </c>
      <c r="I481" s="1" t="inlineStr">
        <is>
          <t>2026-10-26</t>
        </is>
      </c>
      <c r="J481" s="1" t="inlineStr">
        <is>
          <t>凯琦FBA报价_当期.xlsx</t>
        </is>
      </c>
    </row>
    <row r="482">
      <c r="A482" s="1" t="inlineStr">
        <is>
          <t>纽约</t>
        </is>
      </c>
      <c r="B482" s="1" t="inlineStr">
        <is>
          <t>纽约</t>
        </is>
      </c>
      <c r="C482" s="1" t="inlineStr">
        <is>
          <t>Q15纽约海卡</t>
        </is>
      </c>
      <c r="D482" s="1" t="inlineStr">
        <is>
          <t>青岛</t>
        </is>
      </c>
      <c r="E482" s="1" t="inlineStr">
        <is>
          <t>LBE1</t>
        </is>
      </c>
      <c r="F482" s="134" t="n">
        <v>10.18</v>
      </c>
      <c r="G482" s="1" t="inlineStr">
        <is>
          <t>RMB/KG</t>
        </is>
      </c>
      <c r="H482" s="134" t="n">
        <v>0</v>
      </c>
      <c r="I482" s="1" t="inlineStr">
        <is>
          <t>2026-10-26</t>
        </is>
      </c>
      <c r="J482" s="1" t="inlineStr">
        <is>
          <t>凯琦FBA报价_当期.xlsx</t>
        </is>
      </c>
    </row>
    <row r="483">
      <c r="A483" s="1" t="inlineStr">
        <is>
          <t>纽约</t>
        </is>
      </c>
      <c r="B483" s="1" t="inlineStr">
        <is>
          <t>纽约</t>
        </is>
      </c>
      <c r="C483" s="1" t="inlineStr">
        <is>
          <t>Q15纽约海卡</t>
        </is>
      </c>
      <c r="D483" s="1" t="inlineStr">
        <is>
          <t>青岛</t>
        </is>
      </c>
      <c r="E483" s="1" t="inlineStr">
        <is>
          <t>ALB1</t>
        </is>
      </c>
      <c r="F483" s="134" t="n">
        <v>10.18</v>
      </c>
      <c r="G483" s="1" t="inlineStr">
        <is>
          <t>RMB/KG</t>
        </is>
      </c>
      <c r="H483" s="134" t="n">
        <v>0</v>
      </c>
      <c r="I483" s="1" t="inlineStr">
        <is>
          <t>2026-10-26</t>
        </is>
      </c>
      <c r="J483" s="1" t="inlineStr">
        <is>
          <t>凯琦FBA报价_当期.xlsx</t>
        </is>
      </c>
    </row>
    <row r="484">
      <c r="A484" s="1" t="inlineStr">
        <is>
          <t>纽约</t>
        </is>
      </c>
      <c r="B484" s="1" t="inlineStr">
        <is>
          <t>纽约</t>
        </is>
      </c>
      <c r="C484" s="1" t="inlineStr">
        <is>
          <t>Q15纽约海卡</t>
        </is>
      </c>
      <c r="D484" s="1" t="inlineStr">
        <is>
          <t>青岛</t>
        </is>
      </c>
      <c r="E484" s="1" t="inlineStr">
        <is>
          <t>PIT2</t>
        </is>
      </c>
      <c r="F484" s="134" t="n">
        <v>10.18</v>
      </c>
      <c r="G484" s="1" t="inlineStr">
        <is>
          <t>RMB/KG</t>
        </is>
      </c>
      <c r="H484" s="134" t="n">
        <v>0</v>
      </c>
      <c r="I484" s="1" t="inlineStr">
        <is>
          <t>2026-10-26</t>
        </is>
      </c>
      <c r="J484" s="1" t="inlineStr">
        <is>
          <t>凯琦FBA报价_当期.xlsx</t>
        </is>
      </c>
    </row>
    <row r="485">
      <c r="A485" s="1" t="inlineStr">
        <is>
          <t>纽约</t>
        </is>
      </c>
      <c r="B485" s="1" t="inlineStr">
        <is>
          <t>纽约</t>
        </is>
      </c>
      <c r="C485" s="1" t="inlineStr">
        <is>
          <t>Q15纽约海卡</t>
        </is>
      </c>
      <c r="D485" s="1" t="inlineStr">
        <is>
          <t>青岛</t>
        </is>
      </c>
      <c r="E485" s="1" t="inlineStr">
        <is>
          <t>XLX1</t>
        </is>
      </c>
      <c r="F485" s="134" t="n">
        <v>10.28</v>
      </c>
      <c r="G485" s="1" t="inlineStr">
        <is>
          <t>RMB/KG</t>
        </is>
      </c>
      <c r="H485" s="134" t="n">
        <v>0</v>
      </c>
      <c r="I485" s="1" t="inlineStr">
        <is>
          <t>2026-10-26</t>
        </is>
      </c>
      <c r="J485" s="1" t="inlineStr">
        <is>
          <t>凯琦FBA报价_当期.xlsx</t>
        </is>
      </c>
    </row>
    <row r="486">
      <c r="A486" s="1" t="inlineStr">
        <is>
          <t>纽约</t>
        </is>
      </c>
      <c r="B486" s="1" t="inlineStr">
        <is>
          <t>纽约</t>
        </is>
      </c>
      <c r="C486" s="1" t="inlineStr">
        <is>
          <t>Q15纽约海卡</t>
        </is>
      </c>
      <c r="D486" s="1" t="inlineStr">
        <is>
          <t>青岛</t>
        </is>
      </c>
      <c r="E486" s="1" t="inlineStr">
        <is>
          <t>HGR6</t>
        </is>
      </c>
      <c r="F486" s="134" t="n">
        <v>10.28</v>
      </c>
      <c r="G486" s="1" t="inlineStr">
        <is>
          <t>RMB/KG</t>
        </is>
      </c>
      <c r="H486" s="134" t="n">
        <v>0</v>
      </c>
      <c r="I486" s="1" t="inlineStr">
        <is>
          <t>2026-10-26</t>
        </is>
      </c>
      <c r="J486" s="1" t="inlineStr">
        <is>
          <t>凯琦FBA报价_当期.xlsx</t>
        </is>
      </c>
    </row>
    <row r="487">
      <c r="A487" s="1" t="inlineStr">
        <is>
          <t>纽约</t>
        </is>
      </c>
      <c r="B487" s="1" t="inlineStr">
        <is>
          <t>纽约</t>
        </is>
      </c>
      <c r="C487" s="1" t="inlineStr">
        <is>
          <t>Q15纽约海卡</t>
        </is>
      </c>
      <c r="D487" s="1" t="inlineStr">
        <is>
          <t>青岛</t>
        </is>
      </c>
      <c r="E487" s="1" t="inlineStr">
        <is>
          <t>BOS7</t>
        </is>
      </c>
      <c r="F487" s="134" t="n">
        <v>10.38</v>
      </c>
      <c r="G487" s="1" t="inlineStr">
        <is>
          <t>RMB/KG</t>
        </is>
      </c>
      <c r="H487" s="134" t="n">
        <v>0</v>
      </c>
      <c r="I487" s="1" t="inlineStr">
        <is>
          <t>2026-10-26</t>
        </is>
      </c>
      <c r="J487" s="1" t="inlineStr">
        <is>
          <t>凯琦FBA报价_当期.xlsx</t>
        </is>
      </c>
    </row>
    <row r="488">
      <c r="A488" s="1" t="inlineStr">
        <is>
          <t>纽约</t>
        </is>
      </c>
      <c r="B488" s="1" t="inlineStr">
        <is>
          <t>纽约</t>
        </is>
      </c>
      <c r="C488" s="1" t="inlineStr">
        <is>
          <t>Q15纽约海卡</t>
        </is>
      </c>
      <c r="D488" s="1" t="inlineStr">
        <is>
          <t>青岛</t>
        </is>
      </c>
      <c r="E488" s="1" t="inlineStr">
        <is>
          <t>BWI4</t>
        </is>
      </c>
      <c r="F488" s="134" t="n">
        <v>10.38</v>
      </c>
      <c r="G488" s="1" t="inlineStr">
        <is>
          <t>RMB/KG</t>
        </is>
      </c>
      <c r="H488" s="134" t="n">
        <v>0</v>
      </c>
      <c r="I488" s="1" t="inlineStr">
        <is>
          <t>2026-10-26</t>
        </is>
      </c>
      <c r="J488" s="1" t="inlineStr">
        <is>
          <t>凯琦FBA报价_当期.xlsx</t>
        </is>
      </c>
    </row>
    <row r="489">
      <c r="A489" s="1" t="inlineStr">
        <is>
          <t>纽约</t>
        </is>
      </c>
      <c r="B489" s="1" t="inlineStr">
        <is>
          <t>纽约</t>
        </is>
      </c>
      <c r="C489" s="1" t="inlineStr">
        <is>
          <t>Q15纽约海卡</t>
        </is>
      </c>
      <c r="D489" s="1" t="inlineStr">
        <is>
          <t>青岛</t>
        </is>
      </c>
      <c r="E489" s="1" t="inlineStr">
        <is>
          <t>BDL6</t>
        </is>
      </c>
      <c r="F489" s="134" t="n">
        <v>10.38</v>
      </c>
      <c r="G489" s="1" t="inlineStr">
        <is>
          <t>RMB/KG</t>
        </is>
      </c>
      <c r="H489" s="134" t="n">
        <v>0</v>
      </c>
      <c r="I489" s="1" t="inlineStr">
        <is>
          <t>2026-10-26</t>
        </is>
      </c>
      <c r="J489" s="1" t="inlineStr">
        <is>
          <t>凯琦FBA报价_当期.xlsx</t>
        </is>
      </c>
    </row>
    <row r="490">
      <c r="A490" s="1" t="inlineStr">
        <is>
          <t>纽约</t>
        </is>
      </c>
      <c r="B490" s="1" t="inlineStr">
        <is>
          <t>纽约</t>
        </is>
      </c>
      <c r="C490" s="1" t="inlineStr">
        <is>
          <t>Q15纽约海卡</t>
        </is>
      </c>
      <c r="D490" s="1" t="inlineStr">
        <is>
          <t>青岛</t>
        </is>
      </c>
      <c r="E490" s="1" t="inlineStr">
        <is>
          <t>CHO1</t>
        </is>
      </c>
      <c r="F490" s="134" t="n">
        <v>10.38</v>
      </c>
      <c r="G490" s="1" t="inlineStr">
        <is>
          <t>RMB/KG</t>
        </is>
      </c>
      <c r="H490" s="134" t="n">
        <v>0</v>
      </c>
      <c r="I490" s="1" t="inlineStr">
        <is>
          <t>2026-10-26</t>
        </is>
      </c>
      <c r="J490" s="1" t="inlineStr">
        <is>
          <t>凯琦FBA报价_当期.xlsx</t>
        </is>
      </c>
    </row>
    <row r="491">
      <c r="A491" s="1" t="inlineStr">
        <is>
          <t>纽约</t>
        </is>
      </c>
      <c r="B491" s="1" t="inlineStr">
        <is>
          <t>纽约</t>
        </is>
      </c>
      <c r="C491" s="1" t="inlineStr">
        <is>
          <t>Q15纽约海卡</t>
        </is>
      </c>
      <c r="D491" s="1" t="inlineStr">
        <is>
          <t>青岛</t>
        </is>
      </c>
      <c r="E491" s="1" t="inlineStr">
        <is>
          <t>XRI3</t>
        </is>
      </c>
      <c r="F491" s="134" t="n">
        <v>10.38</v>
      </c>
      <c r="G491" s="1" t="inlineStr">
        <is>
          <t>RMB/KG</t>
        </is>
      </c>
      <c r="H491" s="134" t="n">
        <v>0</v>
      </c>
      <c r="I491" s="1" t="inlineStr">
        <is>
          <t>2026-10-26</t>
        </is>
      </c>
      <c r="J491" s="1" t="inlineStr">
        <is>
          <t>凯琦FBA报价_当期.xlsx</t>
        </is>
      </c>
    </row>
    <row r="492">
      <c r="A492" s="1" t="inlineStr">
        <is>
          <t>纽约</t>
        </is>
      </c>
      <c r="B492" s="1" t="inlineStr">
        <is>
          <t>纽约</t>
        </is>
      </c>
      <c r="C492" s="1" t="inlineStr">
        <is>
          <t>Q15纽约海卡</t>
        </is>
      </c>
      <c r="D492" s="1" t="inlineStr">
        <is>
          <t>青岛</t>
        </is>
      </c>
      <c r="E492" s="1" t="inlineStr">
        <is>
          <t>ORF2</t>
        </is>
      </c>
      <c r="F492" s="134" t="n">
        <v>10.38</v>
      </c>
      <c r="G492" s="1" t="inlineStr">
        <is>
          <t>RMB/KG</t>
        </is>
      </c>
      <c r="H492" s="134" t="n">
        <v>0</v>
      </c>
      <c r="I492" s="1" t="inlineStr">
        <is>
          <t>2026-10-26</t>
        </is>
      </c>
      <c r="J492" s="1" t="inlineStr">
        <is>
          <t>凯琦FBA报价_当期.xlsx</t>
        </is>
      </c>
    </row>
    <row r="493">
      <c r="A493" s="1" t="inlineStr">
        <is>
          <t>纽约</t>
        </is>
      </c>
      <c r="B493" s="1" t="inlineStr">
        <is>
          <t>纽约</t>
        </is>
      </c>
      <c r="C493" s="1" t="inlineStr">
        <is>
          <t>Q15纽约海卡</t>
        </is>
      </c>
      <c r="D493" s="1" t="inlineStr">
        <is>
          <t>青岛</t>
        </is>
      </c>
      <c r="E493" s="1" t="inlineStr">
        <is>
          <t>RMN3</t>
        </is>
      </c>
      <c r="F493" s="134" t="n">
        <v>10.38</v>
      </c>
      <c r="G493" s="1" t="inlineStr">
        <is>
          <t>RMB/KG</t>
        </is>
      </c>
      <c r="H493" s="134" t="n">
        <v>0</v>
      </c>
      <c r="I493" s="1" t="inlineStr">
        <is>
          <t>2026-10-26</t>
        </is>
      </c>
      <c r="J493" s="1" t="inlineStr">
        <is>
          <t>凯琦FBA报价_当期.xlsx</t>
        </is>
      </c>
    </row>
    <row r="494">
      <c r="A494" s="1" t="inlineStr">
        <is>
          <t>纽约</t>
        </is>
      </c>
      <c r="B494" s="1" t="inlineStr">
        <is>
          <t>纽约</t>
        </is>
      </c>
      <c r="C494" s="1" t="inlineStr">
        <is>
          <t>Q15纽约海卡</t>
        </is>
      </c>
      <c r="D494" s="1" t="inlineStr">
        <is>
          <t>青岛</t>
        </is>
      </c>
      <c r="E494" s="1" t="inlineStr">
        <is>
          <t>CLT2</t>
        </is>
      </c>
      <c r="F494" s="134" t="n">
        <v>10.58</v>
      </c>
      <c r="G494" s="1" t="inlineStr">
        <is>
          <t>RMB/KG</t>
        </is>
      </c>
      <c r="H494" s="134" t="n">
        <v>0</v>
      </c>
      <c r="I494" s="1" t="inlineStr">
        <is>
          <t>2026-10-26</t>
        </is>
      </c>
      <c r="J494" s="1" t="inlineStr">
        <is>
          <t>凯琦FBA报价_当期.xlsx</t>
        </is>
      </c>
    </row>
    <row r="495">
      <c r="A495" s="1" t="inlineStr">
        <is>
          <t>纽约</t>
        </is>
      </c>
      <c r="B495" s="1" t="inlineStr">
        <is>
          <t>纽约</t>
        </is>
      </c>
      <c r="C495" s="1" t="inlineStr">
        <is>
          <t>Q15纽约海卡</t>
        </is>
      </c>
      <c r="D495" s="1" t="inlineStr">
        <is>
          <t>青岛</t>
        </is>
      </c>
      <c r="E495" s="1" t="inlineStr">
        <is>
          <t>GSO1</t>
        </is>
      </c>
      <c r="F495" s="134" t="n">
        <v>10.58</v>
      </c>
      <c r="G495" s="1" t="inlineStr">
        <is>
          <t>RMB/KG</t>
        </is>
      </c>
      <c r="H495" s="134" t="n">
        <v>0</v>
      </c>
      <c r="I495" s="1" t="inlineStr">
        <is>
          <t>2026-10-26</t>
        </is>
      </c>
      <c r="J495" s="1" t="inlineStr">
        <is>
          <t>凯琦FBA报价_当期.xlsx</t>
        </is>
      </c>
    </row>
    <row r="496">
      <c r="A496" s="1" t="inlineStr">
        <is>
          <t>纽约</t>
        </is>
      </c>
      <c r="B496" s="1" t="inlineStr">
        <is>
          <t>纽约</t>
        </is>
      </c>
      <c r="C496" s="1" t="inlineStr">
        <is>
          <t>Q15纽约海卡</t>
        </is>
      </c>
      <c r="D496" s="1" t="inlineStr">
        <is>
          <t>青岛</t>
        </is>
      </c>
      <c r="E496" s="1" t="inlineStr">
        <is>
          <t>AKR1</t>
        </is>
      </c>
      <c r="F496" s="134" t="n">
        <v>10.58</v>
      </c>
      <c r="G496" s="1" t="inlineStr">
        <is>
          <t>RMB/KG</t>
        </is>
      </c>
      <c r="H496" s="134" t="n">
        <v>0</v>
      </c>
      <c r="I496" s="1" t="inlineStr">
        <is>
          <t>2026-10-26</t>
        </is>
      </c>
      <c r="J496" s="1" t="inlineStr">
        <is>
          <t>凯琦FBA报价_当期.xlsx</t>
        </is>
      </c>
    </row>
    <row r="497">
      <c r="A497" s="1" t="inlineStr">
        <is>
          <t>纽约</t>
        </is>
      </c>
      <c r="B497" s="1" t="inlineStr">
        <is>
          <t>纽约</t>
        </is>
      </c>
      <c r="C497" s="1" t="inlineStr">
        <is>
          <t>Q15纽约海卡</t>
        </is>
      </c>
      <c r="D497" s="1" t="inlineStr">
        <is>
          <t>青岛</t>
        </is>
      </c>
      <c r="E497" s="1" t="inlineStr">
        <is>
          <t>XLX6</t>
        </is>
      </c>
      <c r="F497" s="134" t="n">
        <v>10.58</v>
      </c>
      <c r="G497" s="1" t="inlineStr">
        <is>
          <t>RMB/KG</t>
        </is>
      </c>
      <c r="H497" s="134" t="n">
        <v>0</v>
      </c>
      <c r="I497" s="1" t="inlineStr">
        <is>
          <t>2026-10-26</t>
        </is>
      </c>
      <c r="J497" s="1" t="inlineStr">
        <is>
          <t>凯琦FBA报价_当期.xlsx</t>
        </is>
      </c>
    </row>
    <row r="498">
      <c r="A498" s="1" t="inlineStr">
        <is>
          <t>纽约</t>
        </is>
      </c>
      <c r="B498" s="1" t="inlineStr">
        <is>
          <t>纽约</t>
        </is>
      </c>
      <c r="C498" s="1" t="inlineStr">
        <is>
          <t>Q15纽约海卡</t>
        </is>
      </c>
      <c r="D498" s="1" t="inlineStr">
        <is>
          <t>青岛</t>
        </is>
      </c>
      <c r="E498" s="1" t="inlineStr">
        <is>
          <t>RDU2</t>
        </is>
      </c>
      <c r="F498" s="134" t="n">
        <v>10.58</v>
      </c>
      <c r="G498" s="1" t="inlineStr">
        <is>
          <t>RMB/KG</t>
        </is>
      </c>
      <c r="H498" s="134" t="n">
        <v>0</v>
      </c>
      <c r="I498" s="1" t="inlineStr">
        <is>
          <t>2026-10-26</t>
        </is>
      </c>
      <c r="J498" s="1" t="inlineStr">
        <is>
          <t>凯琦FBA报价_当期.xlsx</t>
        </is>
      </c>
    </row>
    <row r="499">
      <c r="A499" s="1" t="inlineStr">
        <is>
          <t>纽约</t>
        </is>
      </c>
      <c r="B499" s="1" t="inlineStr">
        <is>
          <t>纽约</t>
        </is>
      </c>
      <c r="C499" s="1" t="inlineStr">
        <is>
          <t>Q15纽约海卡</t>
        </is>
      </c>
      <c r="D499" s="1" t="inlineStr">
        <is>
          <t>青岛</t>
        </is>
      </c>
      <c r="E499" s="1" t="inlineStr">
        <is>
          <t>HGR2</t>
        </is>
      </c>
      <c r="F499" s="134" t="n">
        <v>10.28</v>
      </c>
      <c r="G499" s="1" t="inlineStr">
        <is>
          <t>RMB/KG</t>
        </is>
      </c>
      <c r="H499" s="134" t="n">
        <v>0</v>
      </c>
      <c r="I499" s="1" t="inlineStr">
        <is>
          <t>2026-10-26</t>
        </is>
      </c>
      <c r="J499" s="1" t="inlineStr">
        <is>
          <t>凯琦FBA报价_当期.xlsx</t>
        </is>
      </c>
    </row>
    <row r="500">
      <c r="A500" s="1" t="inlineStr">
        <is>
          <t>纽约</t>
        </is>
      </c>
      <c r="B500" s="1" t="inlineStr">
        <is>
          <t>纽约</t>
        </is>
      </c>
      <c r="C500" s="1" t="inlineStr">
        <is>
          <t>Q15纽约海卡</t>
        </is>
      </c>
      <c r="D500" s="1" t="inlineStr">
        <is>
          <t>青岛</t>
        </is>
      </c>
      <c r="E500" s="1" t="inlineStr">
        <is>
          <t>IUST</t>
        </is>
      </c>
      <c r="F500" s="134" t="n">
        <v>10.48</v>
      </c>
      <c r="G500" s="1" t="inlineStr">
        <is>
          <t>RMB/KG</t>
        </is>
      </c>
      <c r="H500" s="134" t="n">
        <v>0</v>
      </c>
      <c r="I500" s="1" t="inlineStr">
        <is>
          <t>2026-10-26</t>
        </is>
      </c>
      <c r="J500" s="1" t="inlineStr">
        <is>
          <t>凯琦FBA报价_当期.xlsx</t>
        </is>
      </c>
    </row>
    <row r="501">
      <c r="A501" s="1" t="inlineStr">
        <is>
          <t>纽约</t>
        </is>
      </c>
      <c r="B501" s="1" t="inlineStr">
        <is>
          <t>纽约</t>
        </is>
      </c>
      <c r="C501" s="1" t="inlineStr">
        <is>
          <t>Q15纽约海卡</t>
        </is>
      </c>
      <c r="D501" s="1" t="inlineStr">
        <is>
          <t>青岛</t>
        </is>
      </c>
      <c r="E501" s="1" t="inlineStr">
        <is>
          <t>XPH1</t>
        </is>
      </c>
      <c r="F501" s="134" t="n">
        <v>10.88</v>
      </c>
      <c r="G501" s="1" t="inlineStr">
        <is>
          <t>RMB/KG</t>
        </is>
      </c>
      <c r="H501" s="134" t="n">
        <v>0</v>
      </c>
      <c r="I501" s="1" t="inlineStr">
        <is>
          <t>2026-10-26</t>
        </is>
      </c>
      <c r="J501" s="1" t="inlineStr">
        <is>
          <t>凯琦FBA报价_当期.xlsx</t>
        </is>
      </c>
    </row>
    <row r="502">
      <c r="A502" s="1" t="inlineStr">
        <is>
          <t>纽约</t>
        </is>
      </c>
      <c r="B502" s="1" t="inlineStr">
        <is>
          <t>纽约</t>
        </is>
      </c>
      <c r="C502" s="1" t="inlineStr">
        <is>
          <t>Q15纽约海卡</t>
        </is>
      </c>
      <c r="D502" s="1" t="inlineStr">
        <is>
          <t>青岛</t>
        </is>
      </c>
      <c r="E502" s="1" t="inlineStr">
        <is>
          <t>IUSR</t>
        </is>
      </c>
      <c r="F502" s="134" t="n">
        <v>11.18</v>
      </c>
      <c r="G502" s="1" t="inlineStr">
        <is>
          <t>RMB/KG</t>
        </is>
      </c>
      <c r="H502" s="134" t="n">
        <v>0</v>
      </c>
      <c r="I502" s="1" t="inlineStr">
        <is>
          <t>2026-10-26</t>
        </is>
      </c>
      <c r="J502" s="1" t="inlineStr">
        <is>
          <t>凯琦FBA报价_当期.xlsx</t>
        </is>
      </c>
    </row>
    <row r="503">
      <c r="A503" s="1" t="inlineStr">
        <is>
          <t>纽约</t>
        </is>
      </c>
      <c r="B503" s="1" t="inlineStr">
        <is>
          <t>纽约</t>
        </is>
      </c>
      <c r="C503" s="1" t="inlineStr">
        <is>
          <t>Q15纽约海卡</t>
        </is>
      </c>
      <c r="D503" s="1" t="inlineStr">
        <is>
          <t>青岛</t>
        </is>
      </c>
      <c r="E503" s="1" t="inlineStr">
        <is>
          <t>BNA2</t>
        </is>
      </c>
      <c r="F503" s="134" t="n">
        <v>11.08</v>
      </c>
      <c r="G503" s="1" t="inlineStr">
        <is>
          <t>RMB/KG</t>
        </is>
      </c>
      <c r="H503" s="134" t="n">
        <v>0</v>
      </c>
      <c r="I503" s="1" t="inlineStr">
        <is>
          <t>2026-10-26</t>
        </is>
      </c>
      <c r="J503" s="1" t="inlineStr">
        <is>
          <t>凯琦FBA报价_当期.xlsx</t>
        </is>
      </c>
    </row>
    <row r="504">
      <c r="A504" s="1" t="inlineStr">
        <is>
          <t>纽约</t>
        </is>
      </c>
      <c r="B504" s="1" t="inlineStr">
        <is>
          <t>纽约</t>
        </is>
      </c>
      <c r="C504" s="1" t="inlineStr">
        <is>
          <t>Q15纽约海卡</t>
        </is>
      </c>
      <c r="D504" s="1" t="inlineStr">
        <is>
          <t>青岛</t>
        </is>
      </c>
      <c r="E504" s="1" t="inlineStr">
        <is>
          <t>CHA2</t>
        </is>
      </c>
      <c r="F504" s="134" t="n">
        <v>11.08</v>
      </c>
      <c r="G504" s="1" t="inlineStr">
        <is>
          <t>RMB/KG</t>
        </is>
      </c>
      <c r="H504" s="134" t="n">
        <v>0</v>
      </c>
      <c r="I504" s="1" t="inlineStr">
        <is>
          <t>2026-10-26</t>
        </is>
      </c>
      <c r="J504" s="1" t="inlineStr">
        <is>
          <t>凯琦FBA报价_当期.xlsx</t>
        </is>
      </c>
    </row>
    <row r="505">
      <c r="A505" s="1" t="inlineStr">
        <is>
          <t>纽约</t>
        </is>
      </c>
      <c r="B505" s="1" t="inlineStr">
        <is>
          <t>纽约</t>
        </is>
      </c>
      <c r="C505" s="1" t="inlineStr">
        <is>
          <t>Q15纽约海卡</t>
        </is>
      </c>
      <c r="D505" s="1" t="inlineStr">
        <is>
          <t>青岛</t>
        </is>
      </c>
      <c r="E505" s="1" t="inlineStr">
        <is>
          <t>BNA6</t>
        </is>
      </c>
      <c r="F505" s="134" t="n">
        <v>11.08</v>
      </c>
      <c r="G505" s="1" t="inlineStr">
        <is>
          <t>RMB/KG</t>
        </is>
      </c>
      <c r="H505" s="134" t="n">
        <v>0</v>
      </c>
      <c r="I505" s="1" t="inlineStr">
        <is>
          <t>2026-10-26</t>
        </is>
      </c>
      <c r="J505" s="1" t="inlineStr">
        <is>
          <t>凯琦FBA报价_当期.xlsx</t>
        </is>
      </c>
    </row>
    <row r="506">
      <c r="A506" s="1" t="inlineStr">
        <is>
          <t>纽约</t>
        </is>
      </c>
      <c r="B506" s="1" t="inlineStr">
        <is>
          <t>纽约</t>
        </is>
      </c>
      <c r="C506" s="1" t="inlineStr">
        <is>
          <t>Q15纽约海卡</t>
        </is>
      </c>
      <c r="D506" s="1" t="inlineStr">
        <is>
          <t>青岛</t>
        </is>
      </c>
      <c r="E506" s="1" t="inlineStr">
        <is>
          <t>MGE1</t>
        </is>
      </c>
      <c r="F506" s="134" t="n">
        <v>11.08</v>
      </c>
      <c r="G506" s="1" t="inlineStr">
        <is>
          <t>RMB/KG</t>
        </is>
      </c>
      <c r="H506" s="134" t="n">
        <v>0</v>
      </c>
      <c r="I506" s="1" t="inlineStr">
        <is>
          <t>2026-10-26</t>
        </is>
      </c>
      <c r="J506" s="1" t="inlineStr">
        <is>
          <t>凯琦FBA报价_当期.xlsx</t>
        </is>
      </c>
    </row>
    <row r="507">
      <c r="A507" s="1" t="inlineStr">
        <is>
          <t>纽约</t>
        </is>
      </c>
      <c r="B507" s="1" t="inlineStr">
        <is>
          <t>纽约</t>
        </is>
      </c>
      <c r="C507" s="1" t="inlineStr">
        <is>
          <t>Q15纽约海卡</t>
        </is>
      </c>
      <c r="D507" s="1" t="inlineStr">
        <is>
          <t>青岛</t>
        </is>
      </c>
      <c r="E507" s="1" t="inlineStr">
        <is>
          <t>HSV1</t>
        </is>
      </c>
      <c r="F507" s="134" t="n">
        <v>11.08</v>
      </c>
      <c r="G507" s="1" t="inlineStr">
        <is>
          <t>RMB/KG</t>
        </is>
      </c>
      <c r="H507" s="134" t="n">
        <v>0</v>
      </c>
      <c r="I507" s="1" t="inlineStr">
        <is>
          <t>2026-10-26</t>
        </is>
      </c>
      <c r="J507" s="1" t="inlineStr">
        <is>
          <t>凯琦FBA报价_当期.xlsx</t>
        </is>
      </c>
    </row>
    <row r="508">
      <c r="A508" s="1" t="inlineStr">
        <is>
          <t>纽约</t>
        </is>
      </c>
      <c r="B508" s="1" t="inlineStr">
        <is>
          <t>纽约</t>
        </is>
      </c>
      <c r="C508" s="1" t="inlineStr">
        <is>
          <t>Q15纽约海卡</t>
        </is>
      </c>
      <c r="D508" s="1" t="inlineStr">
        <is>
          <t>青岛</t>
        </is>
      </c>
      <c r="E508" s="1" t="inlineStr">
        <is>
          <t>CMH3</t>
        </is>
      </c>
      <c r="F508" s="134" t="n">
        <v>10.78</v>
      </c>
      <c r="G508" s="1" t="inlineStr">
        <is>
          <t>RMB/KG</t>
        </is>
      </c>
      <c r="H508" s="134" t="n">
        <v>0</v>
      </c>
      <c r="I508" s="1" t="inlineStr">
        <is>
          <t>2026-10-26</t>
        </is>
      </c>
      <c r="J508" s="1" t="inlineStr">
        <is>
          <t>凯琦FBA报价_当期.xlsx</t>
        </is>
      </c>
    </row>
    <row r="509">
      <c r="A509" s="1" t="inlineStr">
        <is>
          <t>纽约</t>
        </is>
      </c>
      <c r="B509" s="1" t="inlineStr">
        <is>
          <t>纽约</t>
        </is>
      </c>
      <c r="C509" s="1" t="inlineStr">
        <is>
          <t>Q15纽约海卡</t>
        </is>
      </c>
      <c r="D509" s="1" t="inlineStr">
        <is>
          <t>青岛</t>
        </is>
      </c>
      <c r="E509" s="1" t="inlineStr">
        <is>
          <t>CMH2</t>
        </is>
      </c>
      <c r="F509" s="134" t="n">
        <v>10.78</v>
      </c>
      <c r="G509" s="1" t="inlineStr">
        <is>
          <t>RMB/KG</t>
        </is>
      </c>
      <c r="H509" s="134" t="n">
        <v>0</v>
      </c>
      <c r="I509" s="1" t="inlineStr">
        <is>
          <t>2026-10-26</t>
        </is>
      </c>
      <c r="J509" s="1" t="inlineStr">
        <is>
          <t>凯琦FBA报价_当期.xlsx</t>
        </is>
      </c>
    </row>
    <row r="510">
      <c r="A510" s="1" t="inlineStr">
        <is>
          <t>纽约</t>
        </is>
      </c>
      <c r="B510" s="1" t="inlineStr">
        <is>
          <t>纽约</t>
        </is>
      </c>
      <c r="C510" s="1" t="inlineStr">
        <is>
          <t>Q15纽约海卡</t>
        </is>
      </c>
      <c r="D510" s="1" t="inlineStr">
        <is>
          <t>青岛</t>
        </is>
      </c>
      <c r="E510" s="1" t="inlineStr">
        <is>
          <t>CLT6</t>
        </is>
      </c>
      <c r="F510" s="134" t="n">
        <v>10.78</v>
      </c>
      <c r="G510" s="1" t="inlineStr">
        <is>
          <t>RMB/KG</t>
        </is>
      </c>
      <c r="H510" s="134" t="n">
        <v>0</v>
      </c>
      <c r="I510" s="1" t="inlineStr">
        <is>
          <t>2026-10-26</t>
        </is>
      </c>
      <c r="J510" s="1" t="inlineStr">
        <is>
          <t>凯琦FBA报价_当期.xlsx</t>
        </is>
      </c>
    </row>
    <row r="511">
      <c r="A511" s="1" t="inlineStr">
        <is>
          <t>纽约</t>
        </is>
      </c>
      <c r="B511" s="1" t="inlineStr">
        <is>
          <t>纽约</t>
        </is>
      </c>
      <c r="C511" s="1" t="inlineStr">
        <is>
          <t>Q15纽约海卡</t>
        </is>
      </c>
      <c r="D511" s="1" t="inlineStr">
        <is>
          <t>青岛</t>
        </is>
      </c>
      <c r="E511" s="1" t="inlineStr">
        <is>
          <t>RYY2</t>
        </is>
      </c>
      <c r="F511" s="134" t="n">
        <v>11.48</v>
      </c>
      <c r="G511" s="1" t="inlineStr">
        <is>
          <t>RMB/KG</t>
        </is>
      </c>
      <c r="H511" s="134" t="n">
        <v>0</v>
      </c>
      <c r="I511" s="1" t="inlineStr">
        <is>
          <t>2026-10-26</t>
        </is>
      </c>
      <c r="J511" s="1" t="inlineStr">
        <is>
          <t>凯琦FBA报价_当期.xlsx</t>
        </is>
      </c>
    </row>
    <row r="512">
      <c r="A512" s="1" t="inlineStr">
        <is>
          <t>纽约</t>
        </is>
      </c>
      <c r="B512" s="1" t="inlineStr">
        <is>
          <t>纽约</t>
        </is>
      </c>
      <c r="C512" s="1" t="inlineStr">
        <is>
          <t>Q15纽约海卡</t>
        </is>
      </c>
      <c r="D512" s="1" t="inlineStr">
        <is>
          <t>青岛</t>
        </is>
      </c>
      <c r="E512" s="1" t="inlineStr">
        <is>
          <t>MGE3</t>
        </is>
      </c>
      <c r="F512" s="134" t="n">
        <v>11.48</v>
      </c>
      <c r="G512" s="1" t="inlineStr">
        <is>
          <t>RMB/KG</t>
        </is>
      </c>
      <c r="H512" s="134" t="n">
        <v>0</v>
      </c>
      <c r="I512" s="1" t="inlineStr">
        <is>
          <t>2026-10-26</t>
        </is>
      </c>
      <c r="J512" s="1" t="inlineStr">
        <is>
          <t>凯琦FBA报价_当期.xlsx</t>
        </is>
      </c>
    </row>
    <row r="513">
      <c r="A513" s="1" t="inlineStr">
        <is>
          <t>纽约</t>
        </is>
      </c>
      <c r="B513" s="1" t="inlineStr">
        <is>
          <t>纽约</t>
        </is>
      </c>
      <c r="C513" s="1" t="inlineStr">
        <is>
          <t>Q15纽约海卡</t>
        </is>
      </c>
      <c r="D513" s="1" t="inlineStr">
        <is>
          <t>青岛</t>
        </is>
      </c>
      <c r="E513" s="1" t="inlineStr">
        <is>
          <t>MCO2</t>
        </is>
      </c>
      <c r="F513" s="134" t="n">
        <v>12.48</v>
      </c>
      <c r="G513" s="1" t="inlineStr">
        <is>
          <t>RMB/KG</t>
        </is>
      </c>
      <c r="H513" s="134" t="n">
        <v>0</v>
      </c>
      <c r="I513" s="1" t="inlineStr">
        <is>
          <t>2026-10-26</t>
        </is>
      </c>
      <c r="J513" s="1" t="inlineStr">
        <is>
          <t>凯琦FBA报价_当期.xlsx</t>
        </is>
      </c>
    </row>
    <row r="514">
      <c r="A514" s="1" t="inlineStr">
        <is>
          <t>纽约</t>
        </is>
      </c>
      <c r="B514" s="1" t="inlineStr">
        <is>
          <t>纽约</t>
        </is>
      </c>
      <c r="C514" s="1" t="inlineStr">
        <is>
          <t>Q15纽约海卡</t>
        </is>
      </c>
      <c r="D514" s="1" t="inlineStr">
        <is>
          <t>青岛</t>
        </is>
      </c>
      <c r="E514" s="1" t="inlineStr">
        <is>
          <t>TPA2</t>
        </is>
      </c>
      <c r="F514" s="134" t="n">
        <v>12.48</v>
      </c>
      <c r="G514" s="1" t="inlineStr">
        <is>
          <t>RMB/KG</t>
        </is>
      </c>
      <c r="H514" s="134" t="n">
        <v>0</v>
      </c>
      <c r="I514" s="1" t="inlineStr">
        <is>
          <t>2026-10-26</t>
        </is>
      </c>
      <c r="J514" s="1" t="inlineStr">
        <is>
          <t>凯琦FBA报价_当期.xlsx</t>
        </is>
      </c>
    </row>
    <row r="515">
      <c r="A515" s="1" t="inlineStr">
        <is>
          <t>纽约</t>
        </is>
      </c>
      <c r="B515" s="1" t="inlineStr">
        <is>
          <t>纽约</t>
        </is>
      </c>
      <c r="C515" s="1" t="inlineStr">
        <is>
          <t>Q15纽约海卡</t>
        </is>
      </c>
      <c r="D515" s="1" t="inlineStr">
        <is>
          <t>青岛</t>
        </is>
      </c>
      <c r="E515" s="1" t="inlineStr">
        <is>
          <t>TPA3</t>
        </is>
      </c>
      <c r="F515" s="134" t="n">
        <v>12.48</v>
      </c>
      <c r="G515" s="1" t="inlineStr">
        <is>
          <t>RMB/KG</t>
        </is>
      </c>
      <c r="H515" s="134" t="n">
        <v>0</v>
      </c>
      <c r="I515" s="1" t="inlineStr">
        <is>
          <t>2026-10-26</t>
        </is>
      </c>
      <c r="J515" s="1" t="inlineStr">
        <is>
          <t>凯琦FBA报价_当期.xlsx</t>
        </is>
      </c>
    </row>
    <row r="516">
      <c r="A516" s="1" t="inlineStr">
        <is>
          <t>纽约</t>
        </is>
      </c>
      <c r="B516" s="1" t="inlineStr">
        <is>
          <t>纽约</t>
        </is>
      </c>
      <c r="C516" s="1" t="inlineStr">
        <is>
          <t>Y琦速达纽约</t>
        </is>
      </c>
      <c r="D516" s="1" t="inlineStr">
        <is>
          <t>义乌</t>
        </is>
      </c>
      <c r="E516" s="1" t="inlineStr">
        <is>
          <t>TEB3</t>
        </is>
      </c>
      <c r="F516" s="134" t="n">
        <v>15.18</v>
      </c>
      <c r="G516" s="1" t="inlineStr">
        <is>
          <t>RMB/KG</t>
        </is>
      </c>
      <c r="H516" s="134" t="n">
        <v>0</v>
      </c>
      <c r="I516" s="1" t="inlineStr">
        <is>
          <t>2026-10-26</t>
        </is>
      </c>
      <c r="J516" s="1" t="inlineStr">
        <is>
          <t>凯琦FBA报价_当期.xlsx</t>
        </is>
      </c>
    </row>
    <row r="517">
      <c r="A517" s="1" t="inlineStr">
        <is>
          <t>纽约</t>
        </is>
      </c>
      <c r="B517" s="1" t="inlineStr">
        <is>
          <t>纽约</t>
        </is>
      </c>
      <c r="C517" s="1" t="inlineStr">
        <is>
          <t>Y琦速达纽约</t>
        </is>
      </c>
      <c r="D517" s="1" t="inlineStr">
        <is>
          <t>义乌</t>
        </is>
      </c>
      <c r="E517" s="1" t="inlineStr">
        <is>
          <t>TEB4</t>
        </is>
      </c>
      <c r="F517" s="134" t="n">
        <v>15.18</v>
      </c>
      <c r="G517" s="1" t="inlineStr">
        <is>
          <t>RMB/KG</t>
        </is>
      </c>
      <c r="H517" s="134" t="n">
        <v>0</v>
      </c>
      <c r="I517" s="1" t="inlineStr">
        <is>
          <t>2026-10-26</t>
        </is>
      </c>
      <c r="J517" s="1" t="inlineStr">
        <is>
          <t>凯琦FBA报价_当期.xlsx</t>
        </is>
      </c>
    </row>
    <row r="518">
      <c r="A518" s="1" t="inlineStr">
        <is>
          <t>纽约</t>
        </is>
      </c>
      <c r="B518" s="1" t="inlineStr">
        <is>
          <t>纽约</t>
        </is>
      </c>
      <c r="C518" s="1" t="inlineStr">
        <is>
          <t>Y琦速达纽约</t>
        </is>
      </c>
      <c r="D518" s="1" t="inlineStr">
        <is>
          <t>义乌</t>
        </is>
      </c>
      <c r="E518" s="1" t="inlineStr">
        <is>
          <t>TEB6</t>
        </is>
      </c>
      <c r="F518" s="134" t="n">
        <v>15.18</v>
      </c>
      <c r="G518" s="1" t="inlineStr">
        <is>
          <t>RMB/KG</t>
        </is>
      </c>
      <c r="H518" s="134" t="n">
        <v>0</v>
      </c>
      <c r="I518" s="1" t="inlineStr">
        <is>
          <t>2026-10-26</t>
        </is>
      </c>
      <c r="J518" s="1" t="inlineStr">
        <is>
          <t>凯琦FBA报价_当期.xlsx</t>
        </is>
      </c>
    </row>
    <row r="519">
      <c r="A519" s="1" t="inlineStr">
        <is>
          <t>纽约</t>
        </is>
      </c>
      <c r="B519" s="1" t="inlineStr">
        <is>
          <t>纽约</t>
        </is>
      </c>
      <c r="C519" s="1" t="inlineStr">
        <is>
          <t>Y琦速达纽约</t>
        </is>
      </c>
      <c r="D519" s="1" t="inlineStr">
        <is>
          <t>义乌</t>
        </is>
      </c>
      <c r="E519" s="1" t="inlineStr">
        <is>
          <t>TEB9</t>
        </is>
      </c>
      <c r="F519" s="134" t="n">
        <v>15.58</v>
      </c>
      <c r="G519" s="1" t="inlineStr">
        <is>
          <t>RMB/KG</t>
        </is>
      </c>
      <c r="H519" s="134" t="n">
        <v>0</v>
      </c>
      <c r="I519" s="1" t="inlineStr">
        <is>
          <t>2026-10-26</t>
        </is>
      </c>
      <c r="J519" s="1" t="inlineStr">
        <is>
          <t>凯琦FBA报价_当期.xlsx</t>
        </is>
      </c>
    </row>
    <row r="520">
      <c r="A520" s="1" t="inlineStr">
        <is>
          <t>纽约</t>
        </is>
      </c>
      <c r="B520" s="1" t="inlineStr">
        <is>
          <t>纽约</t>
        </is>
      </c>
      <c r="C520" s="1" t="inlineStr">
        <is>
          <t>Y琦速达纽约</t>
        </is>
      </c>
      <c r="D520" s="1" t="inlineStr">
        <is>
          <t>义乌</t>
        </is>
      </c>
      <c r="E520" s="1" t="inlineStr">
        <is>
          <t>ABE3</t>
        </is>
      </c>
      <c r="F520" s="134" t="n">
        <v>15.28</v>
      </c>
      <c r="G520" s="1" t="inlineStr">
        <is>
          <t>RMB/KG</t>
        </is>
      </c>
      <c r="H520" s="134" t="n">
        <v>0</v>
      </c>
      <c r="I520" s="1" t="inlineStr">
        <is>
          <t>2026-10-26</t>
        </is>
      </c>
      <c r="J520" s="1" t="inlineStr">
        <is>
          <t>凯琦FBA报价_当期.xlsx</t>
        </is>
      </c>
    </row>
    <row r="521">
      <c r="A521" s="1" t="inlineStr">
        <is>
          <t>纽约</t>
        </is>
      </c>
      <c r="B521" s="1" t="inlineStr">
        <is>
          <t>纽约</t>
        </is>
      </c>
      <c r="C521" s="1" t="inlineStr">
        <is>
          <t>Y琦速达纽约</t>
        </is>
      </c>
      <c r="D521" s="1" t="inlineStr">
        <is>
          <t>义乌</t>
        </is>
      </c>
      <c r="E521" s="1" t="inlineStr">
        <is>
          <t>ABE4</t>
        </is>
      </c>
      <c r="F521" s="134" t="n">
        <v>15.28</v>
      </c>
      <c r="G521" s="1" t="inlineStr">
        <is>
          <t>RMB/KG</t>
        </is>
      </c>
      <c r="H521" s="134" t="n">
        <v>0</v>
      </c>
      <c r="I521" s="1" t="inlineStr">
        <is>
          <t>2026-10-26</t>
        </is>
      </c>
      <c r="J521" s="1" t="inlineStr">
        <is>
          <t>凯琦FBA报价_当期.xlsx</t>
        </is>
      </c>
    </row>
    <row r="522">
      <c r="A522" s="1" t="inlineStr">
        <is>
          <t>纽约</t>
        </is>
      </c>
      <c r="B522" s="1" t="inlineStr">
        <is>
          <t>纽约</t>
        </is>
      </c>
      <c r="C522" s="1" t="inlineStr">
        <is>
          <t>Y琦速达纽约</t>
        </is>
      </c>
      <c r="D522" s="1" t="inlineStr">
        <is>
          <t>义乌</t>
        </is>
      </c>
      <c r="E522" s="1" t="inlineStr">
        <is>
          <t>ABE8</t>
        </is>
      </c>
      <c r="F522" s="134" t="n">
        <v>15.28</v>
      </c>
      <c r="G522" s="1" t="inlineStr">
        <is>
          <t>RMB/KG</t>
        </is>
      </c>
      <c r="H522" s="134" t="n">
        <v>0</v>
      </c>
      <c r="I522" s="1" t="inlineStr">
        <is>
          <t>2026-10-26</t>
        </is>
      </c>
      <c r="J522" s="1" t="inlineStr">
        <is>
          <t>凯琦FBA报价_当期.xlsx</t>
        </is>
      </c>
    </row>
    <row r="523">
      <c r="A523" s="1" t="inlineStr">
        <is>
          <t>纽约</t>
        </is>
      </c>
      <c r="B523" s="1" t="inlineStr">
        <is>
          <t>纽约</t>
        </is>
      </c>
      <c r="C523" s="1" t="inlineStr">
        <is>
          <t>Y琦速达纽约</t>
        </is>
      </c>
      <c r="D523" s="1" t="inlineStr">
        <is>
          <t>义乌</t>
        </is>
      </c>
      <c r="E523" s="1" t="inlineStr">
        <is>
          <t>ACY2</t>
        </is>
      </c>
      <c r="F523" s="134" t="n">
        <v>15.28</v>
      </c>
      <c r="G523" s="1" t="inlineStr">
        <is>
          <t>RMB/KG</t>
        </is>
      </c>
      <c r="H523" s="134" t="n">
        <v>0</v>
      </c>
      <c r="I523" s="1" t="inlineStr">
        <is>
          <t>2026-10-26</t>
        </is>
      </c>
      <c r="J523" s="1" t="inlineStr">
        <is>
          <t>凯琦FBA报价_当期.xlsx</t>
        </is>
      </c>
    </row>
    <row r="524">
      <c r="A524" s="1" t="inlineStr">
        <is>
          <t>纽约</t>
        </is>
      </c>
      <c r="B524" s="1" t="inlineStr">
        <is>
          <t>纽约</t>
        </is>
      </c>
      <c r="C524" s="1" t="inlineStr">
        <is>
          <t>Y琦速达纽约</t>
        </is>
      </c>
      <c r="D524" s="1" t="inlineStr">
        <is>
          <t>义乌</t>
        </is>
      </c>
      <c r="E524" s="1" t="inlineStr">
        <is>
          <t>ILG1</t>
        </is>
      </c>
      <c r="F524" s="134" t="n">
        <v>15.68</v>
      </c>
      <c r="G524" s="1" t="inlineStr">
        <is>
          <t>RMB/KG</t>
        </is>
      </c>
      <c r="H524" s="134" t="n">
        <v>0</v>
      </c>
      <c r="I524" s="1" t="inlineStr">
        <is>
          <t>2026-10-26</t>
        </is>
      </c>
      <c r="J524" s="1" t="inlineStr">
        <is>
          <t>凯琦FBA报价_当期.xlsx</t>
        </is>
      </c>
    </row>
    <row r="525">
      <c r="A525" s="1" t="inlineStr">
        <is>
          <t>纽约</t>
        </is>
      </c>
      <c r="B525" s="1" t="inlineStr">
        <is>
          <t>纽约</t>
        </is>
      </c>
      <c r="C525" s="1" t="inlineStr">
        <is>
          <t>Y琦速达纽约</t>
        </is>
      </c>
      <c r="D525" s="1" t="inlineStr">
        <is>
          <t>义乌</t>
        </is>
      </c>
      <c r="E525" s="1" t="inlineStr">
        <is>
          <t>HEA2</t>
        </is>
      </c>
      <c r="F525" s="134" t="n">
        <v>15.48</v>
      </c>
      <c r="G525" s="1" t="inlineStr">
        <is>
          <t>RMB/KG</t>
        </is>
      </c>
      <c r="H525" s="134" t="n">
        <v>0</v>
      </c>
      <c r="I525" s="1" t="inlineStr">
        <is>
          <t>2026-10-26</t>
        </is>
      </c>
      <c r="J525" s="1" t="inlineStr">
        <is>
          <t>凯琦FBA报价_当期.xlsx</t>
        </is>
      </c>
    </row>
    <row r="526">
      <c r="A526" s="1" t="inlineStr">
        <is>
          <t>纽约</t>
        </is>
      </c>
      <c r="B526" s="1" t="inlineStr">
        <is>
          <t>纽约</t>
        </is>
      </c>
      <c r="C526" s="1" t="inlineStr">
        <is>
          <t>Y琦速达纽约</t>
        </is>
      </c>
      <c r="D526" s="1" t="inlineStr">
        <is>
          <t>义乌</t>
        </is>
      </c>
      <c r="E526" s="1" t="inlineStr">
        <is>
          <t>IPA1</t>
        </is>
      </c>
      <c r="F526" s="134" t="n">
        <v>15.48</v>
      </c>
      <c r="G526" s="1" t="inlineStr">
        <is>
          <t>RMB/KG</t>
        </is>
      </c>
      <c r="H526" s="134" t="n">
        <v>0</v>
      </c>
      <c r="I526" s="1" t="inlineStr">
        <is>
          <t>2026-10-26</t>
        </is>
      </c>
      <c r="J526" s="1" t="inlineStr">
        <is>
          <t>凯琦FBA报价_当期.xlsx</t>
        </is>
      </c>
    </row>
    <row r="527">
      <c r="A527" s="1" t="inlineStr">
        <is>
          <t>纽约</t>
        </is>
      </c>
      <c r="B527" s="1" t="inlineStr">
        <is>
          <t>纽约</t>
        </is>
      </c>
      <c r="C527" s="1" t="inlineStr">
        <is>
          <t>Y琦速达纽约</t>
        </is>
      </c>
      <c r="D527" s="1" t="inlineStr">
        <is>
          <t>义乌</t>
        </is>
      </c>
      <c r="E527" s="1" t="inlineStr">
        <is>
          <t>AVP1</t>
        </is>
      </c>
      <c r="F527" s="134" t="n">
        <v>15.48</v>
      </c>
      <c r="G527" s="1" t="inlineStr">
        <is>
          <t>RMB/KG</t>
        </is>
      </c>
      <c r="H527" s="134" t="n">
        <v>0</v>
      </c>
      <c r="I527" s="1" t="inlineStr">
        <is>
          <t>2026-10-26</t>
        </is>
      </c>
      <c r="J527" s="1" t="inlineStr">
        <is>
          <t>凯琦FBA报价_当期.xlsx</t>
        </is>
      </c>
    </row>
    <row r="528">
      <c r="A528" s="1" t="inlineStr">
        <is>
          <t>纽约</t>
        </is>
      </c>
      <c r="B528" s="1" t="inlineStr">
        <is>
          <t>纽约</t>
        </is>
      </c>
      <c r="C528" s="1" t="inlineStr">
        <is>
          <t>Y琦速达纽约</t>
        </is>
      </c>
      <c r="D528" s="1" t="inlineStr">
        <is>
          <t>义乌</t>
        </is>
      </c>
      <c r="E528" s="1" t="inlineStr">
        <is>
          <t>AVP9</t>
        </is>
      </c>
      <c r="F528" s="134" t="n">
        <v>15.48</v>
      </c>
      <c r="G528" s="1" t="inlineStr">
        <is>
          <t>RMB/KG</t>
        </is>
      </c>
      <c r="H528" s="134" t="n">
        <v>0</v>
      </c>
      <c r="I528" s="1" t="inlineStr">
        <is>
          <t>2026-10-26</t>
        </is>
      </c>
      <c r="J528" s="1" t="inlineStr">
        <is>
          <t>凯琦FBA报价_当期.xlsx</t>
        </is>
      </c>
    </row>
    <row r="529">
      <c r="A529" s="1" t="inlineStr">
        <is>
          <t>纽约</t>
        </is>
      </c>
      <c r="B529" s="1" t="inlineStr">
        <is>
          <t>纽约</t>
        </is>
      </c>
      <c r="C529" s="1" t="inlineStr">
        <is>
          <t>Y琦速达纽约</t>
        </is>
      </c>
      <c r="D529" s="1" t="inlineStr">
        <is>
          <t>义乌</t>
        </is>
      </c>
      <c r="E529" s="1" t="inlineStr">
        <is>
          <t>XEW5</t>
        </is>
      </c>
      <c r="F529" s="134" t="n">
        <v>15.48</v>
      </c>
      <c r="G529" s="1" t="inlineStr">
        <is>
          <t>RMB/KG</t>
        </is>
      </c>
      <c r="H529" s="134" t="n">
        <v>0</v>
      </c>
      <c r="I529" s="1" t="inlineStr">
        <is>
          <t>2026-10-26</t>
        </is>
      </c>
      <c r="J529" s="1" t="inlineStr">
        <is>
          <t>凯琦FBA报价_当期.xlsx</t>
        </is>
      </c>
    </row>
    <row r="530">
      <c r="A530" s="1" t="inlineStr">
        <is>
          <t>纽约</t>
        </is>
      </c>
      <c r="B530" s="1" t="inlineStr">
        <is>
          <t>纽约</t>
        </is>
      </c>
      <c r="C530" s="1" t="inlineStr">
        <is>
          <t>Y琦速达纽约</t>
        </is>
      </c>
      <c r="D530" s="1" t="inlineStr">
        <is>
          <t>义乌</t>
        </is>
      </c>
      <c r="E530" s="1" t="inlineStr">
        <is>
          <t>SWF1</t>
        </is>
      </c>
      <c r="F530" s="134" t="n">
        <v>15.48</v>
      </c>
      <c r="G530" s="1" t="inlineStr">
        <is>
          <t>RMB/KG</t>
        </is>
      </c>
      <c r="H530" s="134" t="n">
        <v>0</v>
      </c>
      <c r="I530" s="1" t="inlineStr">
        <is>
          <t>2026-10-26</t>
        </is>
      </c>
      <c r="J530" s="1" t="inlineStr">
        <is>
          <t>凯琦FBA报价_当期.xlsx</t>
        </is>
      </c>
    </row>
    <row r="531">
      <c r="A531" s="1" t="inlineStr">
        <is>
          <t>纽约</t>
        </is>
      </c>
      <c r="B531" s="1" t="inlineStr">
        <is>
          <t>纽约</t>
        </is>
      </c>
      <c r="C531" s="1" t="inlineStr">
        <is>
          <t>Y琦速达纽约</t>
        </is>
      </c>
      <c r="D531" s="1" t="inlineStr">
        <is>
          <t>义乌</t>
        </is>
      </c>
      <c r="E531" s="1" t="inlineStr">
        <is>
          <t>SWF2</t>
        </is>
      </c>
      <c r="F531" s="134" t="n">
        <v>15.48</v>
      </c>
      <c r="G531" s="1" t="inlineStr">
        <is>
          <t>RMB/KG</t>
        </is>
      </c>
      <c r="H531" s="134" t="n">
        <v>0</v>
      </c>
      <c r="I531" s="1" t="inlineStr">
        <is>
          <t>2026-10-26</t>
        </is>
      </c>
      <c r="J531" s="1" t="inlineStr">
        <is>
          <t>凯琦FBA报价_当期.xlsx</t>
        </is>
      </c>
    </row>
    <row r="532">
      <c r="A532" s="1" t="inlineStr">
        <is>
          <t>纽约</t>
        </is>
      </c>
      <c r="B532" s="1" t="inlineStr">
        <is>
          <t>纽约</t>
        </is>
      </c>
      <c r="C532" s="1" t="inlineStr">
        <is>
          <t>Y琦速达纽约</t>
        </is>
      </c>
      <c r="D532" s="1" t="inlineStr">
        <is>
          <t>义乌</t>
        </is>
      </c>
      <c r="E532" s="1" t="inlineStr">
        <is>
          <t>MDT1</t>
        </is>
      </c>
      <c r="F532" s="134" t="n">
        <v>15.48</v>
      </c>
      <c r="G532" s="1" t="inlineStr">
        <is>
          <t>RMB/KG</t>
        </is>
      </c>
      <c r="H532" s="134" t="n">
        <v>0</v>
      </c>
      <c r="I532" s="1" t="inlineStr">
        <is>
          <t>2026-10-26</t>
        </is>
      </c>
      <c r="J532" s="1" t="inlineStr">
        <is>
          <t>凯琦FBA报价_当期.xlsx</t>
        </is>
      </c>
    </row>
    <row r="533">
      <c r="A533" s="1" t="inlineStr">
        <is>
          <t>纽约</t>
        </is>
      </c>
      <c r="B533" s="1" t="inlineStr">
        <is>
          <t>纽约</t>
        </is>
      </c>
      <c r="C533" s="1" t="inlineStr">
        <is>
          <t>Y琦速达纽约</t>
        </is>
      </c>
      <c r="D533" s="1" t="inlineStr">
        <is>
          <t>义乌</t>
        </is>
      </c>
      <c r="E533" s="1" t="inlineStr">
        <is>
          <t>MDT4</t>
        </is>
      </c>
      <c r="F533" s="134" t="n">
        <v>15.48</v>
      </c>
      <c r="G533" s="1" t="inlineStr">
        <is>
          <t>RMB/KG</t>
        </is>
      </c>
      <c r="H533" s="134" t="n">
        <v>0</v>
      </c>
      <c r="I533" s="1" t="inlineStr">
        <is>
          <t>2026-10-26</t>
        </is>
      </c>
      <c r="J533" s="1" t="inlineStr">
        <is>
          <t>凯琦FBA报价_当期.xlsx</t>
        </is>
      </c>
    </row>
    <row r="534">
      <c r="A534" s="1" t="inlineStr">
        <is>
          <t>纽约</t>
        </is>
      </c>
      <c r="B534" s="1" t="inlineStr">
        <is>
          <t>纽约</t>
        </is>
      </c>
      <c r="C534" s="1" t="inlineStr">
        <is>
          <t>Y琦速达纽约</t>
        </is>
      </c>
      <c r="D534" s="1" t="inlineStr">
        <is>
          <t>义乌</t>
        </is>
      </c>
      <c r="E534" s="1" t="inlineStr">
        <is>
          <t>DCA6</t>
        </is>
      </c>
      <c r="F534" s="134" t="n">
        <v>15.68</v>
      </c>
      <c r="G534" s="1" t="inlineStr">
        <is>
          <t>RMB/KG</t>
        </is>
      </c>
      <c r="H534" s="134" t="n">
        <v>0</v>
      </c>
      <c r="I534" s="1" t="inlineStr">
        <is>
          <t>2026-10-26</t>
        </is>
      </c>
      <c r="J534" s="1" t="inlineStr">
        <is>
          <t>凯琦FBA报价_当期.xlsx</t>
        </is>
      </c>
    </row>
    <row r="535">
      <c r="A535" s="1" t="inlineStr">
        <is>
          <t>纽约</t>
        </is>
      </c>
      <c r="B535" s="1" t="inlineStr">
        <is>
          <t>纽约</t>
        </is>
      </c>
      <c r="C535" s="1" t="inlineStr">
        <is>
          <t>Y琦速达纽约</t>
        </is>
      </c>
      <c r="D535" s="1" t="inlineStr">
        <is>
          <t>义乌</t>
        </is>
      </c>
      <c r="E535" s="1" t="inlineStr">
        <is>
          <t>TTN2</t>
        </is>
      </c>
      <c r="F535" s="134" t="n">
        <v>15.58</v>
      </c>
      <c r="G535" s="1" t="inlineStr">
        <is>
          <t>RMB/KG</t>
        </is>
      </c>
      <c r="H535" s="134" t="n">
        <v>0</v>
      </c>
      <c r="I535" s="1" t="inlineStr">
        <is>
          <t>2026-10-26</t>
        </is>
      </c>
      <c r="J535" s="1" t="inlineStr">
        <is>
          <t>凯琦FBA报价_当期.xlsx</t>
        </is>
      </c>
    </row>
    <row r="536">
      <c r="A536" s="1" t="inlineStr">
        <is>
          <t>纽约</t>
        </is>
      </c>
      <c r="B536" s="1" t="inlineStr">
        <is>
          <t>纽约</t>
        </is>
      </c>
      <c r="C536" s="1" t="inlineStr">
        <is>
          <t>Y琦速达纽约</t>
        </is>
      </c>
      <c r="D536" s="1" t="inlineStr">
        <is>
          <t>义乌</t>
        </is>
      </c>
      <c r="E536" s="1" t="inlineStr">
        <is>
          <t>HIA1</t>
        </is>
      </c>
      <c r="F536" s="134" t="n">
        <v>15.88</v>
      </c>
      <c r="G536" s="1" t="inlineStr">
        <is>
          <t>RMB/KG</t>
        </is>
      </c>
      <c r="H536" s="134" t="n">
        <v>0</v>
      </c>
      <c r="I536" s="1" t="inlineStr">
        <is>
          <t>2026-10-26</t>
        </is>
      </c>
      <c r="J536" s="1" t="inlineStr">
        <is>
          <t>凯琦FBA报价_当期.xlsx</t>
        </is>
      </c>
    </row>
    <row r="537">
      <c r="A537" s="1" t="inlineStr">
        <is>
          <t>纽约</t>
        </is>
      </c>
      <c r="B537" s="1" t="inlineStr">
        <is>
          <t>纽约</t>
        </is>
      </c>
      <c r="C537" s="1" t="inlineStr">
        <is>
          <t>Y琦速达纽约</t>
        </is>
      </c>
      <c r="D537" s="1" t="inlineStr">
        <is>
          <t>义乌</t>
        </is>
      </c>
      <c r="E537" s="1" t="inlineStr">
        <is>
          <t>LBE1</t>
        </is>
      </c>
      <c r="F537" s="134" t="n">
        <v>15.88</v>
      </c>
      <c r="G537" s="1" t="inlineStr">
        <is>
          <t>RMB/KG</t>
        </is>
      </c>
      <c r="H537" s="134" t="n">
        <v>0</v>
      </c>
      <c r="I537" s="1" t="inlineStr">
        <is>
          <t>2026-10-26</t>
        </is>
      </c>
      <c r="J537" s="1" t="inlineStr">
        <is>
          <t>凯琦FBA报价_当期.xlsx</t>
        </is>
      </c>
    </row>
    <row r="538">
      <c r="A538" s="1" t="inlineStr">
        <is>
          <t>纽约</t>
        </is>
      </c>
      <c r="B538" s="1" t="inlineStr">
        <is>
          <t>纽约</t>
        </is>
      </c>
      <c r="C538" s="1" t="inlineStr">
        <is>
          <t>Y琦速达纽约</t>
        </is>
      </c>
      <c r="D538" s="1" t="inlineStr">
        <is>
          <t>义乌</t>
        </is>
      </c>
      <c r="E538" s="1" t="inlineStr">
        <is>
          <t>ALB1</t>
        </is>
      </c>
      <c r="F538" s="134" t="n">
        <v>15.98</v>
      </c>
      <c r="G538" s="1" t="inlineStr">
        <is>
          <t>RMB/KG</t>
        </is>
      </c>
      <c r="H538" s="134" t="n">
        <v>0</v>
      </c>
      <c r="I538" s="1" t="inlineStr">
        <is>
          <t>2026-10-26</t>
        </is>
      </c>
      <c r="J538" s="1" t="inlineStr">
        <is>
          <t>凯琦FBA报价_当期.xlsx</t>
        </is>
      </c>
    </row>
    <row r="539">
      <c r="A539" s="1" t="inlineStr">
        <is>
          <t>纽约</t>
        </is>
      </c>
      <c r="B539" s="1" t="inlineStr">
        <is>
          <t>纽约</t>
        </is>
      </c>
      <c r="C539" s="1" t="inlineStr">
        <is>
          <t>Y琦速达纽约</t>
        </is>
      </c>
      <c r="D539" s="1" t="inlineStr">
        <is>
          <t>义乌</t>
        </is>
      </c>
      <c r="E539" s="1" t="inlineStr">
        <is>
          <t>PIT2</t>
        </is>
      </c>
      <c r="F539" s="134" t="n">
        <v>15.98</v>
      </c>
      <c r="G539" s="1" t="inlineStr">
        <is>
          <t>RMB/KG</t>
        </is>
      </c>
      <c r="H539" s="134" t="n">
        <v>0</v>
      </c>
      <c r="I539" s="1" t="inlineStr">
        <is>
          <t>2026-10-26</t>
        </is>
      </c>
      <c r="J539" s="1" t="inlineStr">
        <is>
          <t>凯琦FBA报价_当期.xlsx</t>
        </is>
      </c>
    </row>
    <row r="540">
      <c r="A540" s="1" t="inlineStr">
        <is>
          <t>纽约</t>
        </is>
      </c>
      <c r="B540" s="1" t="inlineStr">
        <is>
          <t>纽约</t>
        </is>
      </c>
      <c r="C540" s="1" t="inlineStr">
        <is>
          <t>Y琦速达纽约</t>
        </is>
      </c>
      <c r="D540" s="1" t="inlineStr">
        <is>
          <t>义乌</t>
        </is>
      </c>
      <c r="E540" s="1" t="inlineStr">
        <is>
          <t>XLX1</t>
        </is>
      </c>
      <c r="F540" s="134" t="n">
        <v>15.98</v>
      </c>
      <c r="G540" s="1" t="inlineStr">
        <is>
          <t>RMB/KG</t>
        </is>
      </c>
      <c r="H540" s="134" t="n">
        <v>0</v>
      </c>
      <c r="I540" s="1" t="inlineStr">
        <is>
          <t>2026-10-26</t>
        </is>
      </c>
      <c r="J540" s="1" t="inlineStr">
        <is>
          <t>凯琦FBA报价_当期.xlsx</t>
        </is>
      </c>
    </row>
    <row r="541">
      <c r="A541" s="1" t="inlineStr">
        <is>
          <t>纽约</t>
        </is>
      </c>
      <c r="B541" s="1" t="inlineStr">
        <is>
          <t>纽约</t>
        </is>
      </c>
      <c r="C541" s="1" t="inlineStr">
        <is>
          <t>Y琦速达纽约</t>
        </is>
      </c>
      <c r="D541" s="1" t="inlineStr">
        <is>
          <t>义乌</t>
        </is>
      </c>
      <c r="E541" s="1" t="inlineStr">
        <is>
          <t>HGR6</t>
        </is>
      </c>
      <c r="F541" s="134" t="n">
        <v>15.98</v>
      </c>
      <c r="G541" s="1" t="inlineStr">
        <is>
          <t>RMB/KG</t>
        </is>
      </c>
      <c r="H541" s="134" t="n">
        <v>0</v>
      </c>
      <c r="I541" s="1" t="inlineStr">
        <is>
          <t>2026-10-26</t>
        </is>
      </c>
      <c r="J541" s="1" t="inlineStr">
        <is>
          <t>凯琦FBA报价_当期.xlsx</t>
        </is>
      </c>
    </row>
    <row r="542">
      <c r="A542" s="1" t="inlineStr">
        <is>
          <t>纽约</t>
        </is>
      </c>
      <c r="B542" s="1" t="inlineStr">
        <is>
          <t>纽约</t>
        </is>
      </c>
      <c r="C542" s="1" t="inlineStr">
        <is>
          <t>Y琦速达纽约</t>
        </is>
      </c>
      <c r="D542" s="1" t="inlineStr">
        <is>
          <t>义乌</t>
        </is>
      </c>
      <c r="E542" s="1" t="inlineStr">
        <is>
          <t>BOS7</t>
        </is>
      </c>
      <c r="F542" s="134" t="n">
        <v>15.98</v>
      </c>
      <c r="G542" s="1" t="inlineStr">
        <is>
          <t>RMB/KG</t>
        </is>
      </c>
      <c r="H542" s="134" t="n">
        <v>0</v>
      </c>
      <c r="I542" s="1" t="inlineStr">
        <is>
          <t>2026-10-26</t>
        </is>
      </c>
      <c r="J542" s="1" t="inlineStr">
        <is>
          <t>凯琦FBA报价_当期.xlsx</t>
        </is>
      </c>
    </row>
    <row r="543">
      <c r="A543" s="1" t="inlineStr">
        <is>
          <t>纽约</t>
        </is>
      </c>
      <c r="B543" s="1" t="inlineStr">
        <is>
          <t>纽约</t>
        </is>
      </c>
      <c r="C543" s="1" t="inlineStr">
        <is>
          <t>Y琦速达纽约</t>
        </is>
      </c>
      <c r="D543" s="1" t="inlineStr">
        <is>
          <t>义乌</t>
        </is>
      </c>
      <c r="E543" s="1" t="inlineStr">
        <is>
          <t>BWI4</t>
        </is>
      </c>
      <c r="F543" s="134" t="n">
        <v>15.98</v>
      </c>
      <c r="G543" s="1" t="inlineStr">
        <is>
          <t>RMB/KG</t>
        </is>
      </c>
      <c r="H543" s="134" t="n">
        <v>0</v>
      </c>
      <c r="I543" s="1" t="inlineStr">
        <is>
          <t>2026-10-26</t>
        </is>
      </c>
      <c r="J543" s="1" t="inlineStr">
        <is>
          <t>凯琦FBA报价_当期.xlsx</t>
        </is>
      </c>
    </row>
    <row r="544">
      <c r="A544" s="1" t="inlineStr">
        <is>
          <t>纽约</t>
        </is>
      </c>
      <c r="B544" s="1" t="inlineStr">
        <is>
          <t>纽约</t>
        </is>
      </c>
      <c r="C544" s="1" t="inlineStr">
        <is>
          <t>Y琦速达纽约</t>
        </is>
      </c>
      <c r="D544" s="1" t="inlineStr">
        <is>
          <t>义乌</t>
        </is>
      </c>
      <c r="E544" s="1" t="inlineStr">
        <is>
          <t>BDL6</t>
        </is>
      </c>
      <c r="F544" s="134" t="n">
        <v>15.98</v>
      </c>
      <c r="G544" s="1" t="inlineStr">
        <is>
          <t>RMB/KG</t>
        </is>
      </c>
      <c r="H544" s="134" t="n">
        <v>0</v>
      </c>
      <c r="I544" s="1" t="inlineStr">
        <is>
          <t>2026-10-26</t>
        </is>
      </c>
      <c r="J544" s="1" t="inlineStr">
        <is>
          <t>凯琦FBA报价_当期.xlsx</t>
        </is>
      </c>
    </row>
    <row r="545">
      <c r="A545" s="1" t="inlineStr">
        <is>
          <t>纽约</t>
        </is>
      </c>
      <c r="B545" s="1" t="inlineStr">
        <is>
          <t>纽约</t>
        </is>
      </c>
      <c r="C545" s="1" t="inlineStr">
        <is>
          <t>Y琦速达纽约</t>
        </is>
      </c>
      <c r="D545" s="1" t="inlineStr">
        <is>
          <t>义乌</t>
        </is>
      </c>
      <c r="E545" s="1" t="inlineStr">
        <is>
          <t>CHO1</t>
        </is>
      </c>
      <c r="F545" s="134" t="n">
        <v>15.98</v>
      </c>
      <c r="G545" s="1" t="inlineStr">
        <is>
          <t>RMB/KG</t>
        </is>
      </c>
      <c r="H545" s="134" t="n">
        <v>0</v>
      </c>
      <c r="I545" s="1" t="inlineStr">
        <is>
          <t>2026-10-26</t>
        </is>
      </c>
      <c r="J545" s="1" t="inlineStr">
        <is>
          <t>凯琦FBA报价_当期.xlsx</t>
        </is>
      </c>
    </row>
    <row r="546">
      <c r="A546" s="1" t="inlineStr">
        <is>
          <t>纽约</t>
        </is>
      </c>
      <c r="B546" s="1" t="inlineStr">
        <is>
          <t>纽约</t>
        </is>
      </c>
      <c r="C546" s="1" t="inlineStr">
        <is>
          <t>Y琦速达纽约</t>
        </is>
      </c>
      <c r="D546" s="1" t="inlineStr">
        <is>
          <t>义乌</t>
        </is>
      </c>
      <c r="E546" s="1" t="inlineStr">
        <is>
          <t>XRI3</t>
        </is>
      </c>
      <c r="F546" s="134" t="n">
        <v>15.98</v>
      </c>
      <c r="G546" s="1" t="inlineStr">
        <is>
          <t>RMB/KG</t>
        </is>
      </c>
      <c r="H546" s="134" t="n">
        <v>0</v>
      </c>
      <c r="I546" s="1" t="inlineStr">
        <is>
          <t>2026-10-26</t>
        </is>
      </c>
      <c r="J546" s="1" t="inlineStr">
        <is>
          <t>凯琦FBA报价_当期.xlsx</t>
        </is>
      </c>
    </row>
    <row r="547">
      <c r="A547" s="1" t="inlineStr">
        <is>
          <t>纽约</t>
        </is>
      </c>
      <c r="B547" s="1" t="inlineStr">
        <is>
          <t>纽约</t>
        </is>
      </c>
      <c r="C547" s="1" t="inlineStr">
        <is>
          <t>Y琦速达纽约</t>
        </is>
      </c>
      <c r="D547" s="1" t="inlineStr">
        <is>
          <t>义乌</t>
        </is>
      </c>
      <c r="E547" s="1" t="inlineStr">
        <is>
          <t>ORF2</t>
        </is>
      </c>
      <c r="F547" s="134" t="n">
        <v>15.98</v>
      </c>
      <c r="G547" s="1" t="inlineStr">
        <is>
          <t>RMB/KG</t>
        </is>
      </c>
      <c r="H547" s="134" t="n">
        <v>0</v>
      </c>
      <c r="I547" s="1" t="inlineStr">
        <is>
          <t>2026-10-26</t>
        </is>
      </c>
      <c r="J547" s="1" t="inlineStr">
        <is>
          <t>凯琦FBA报价_当期.xlsx</t>
        </is>
      </c>
    </row>
    <row r="548">
      <c r="A548" s="1" t="inlineStr">
        <is>
          <t>纽约</t>
        </is>
      </c>
      <c r="B548" s="1" t="inlineStr">
        <is>
          <t>纽约</t>
        </is>
      </c>
      <c r="C548" s="1" t="inlineStr">
        <is>
          <t>Y琦速达纽约</t>
        </is>
      </c>
      <c r="D548" s="1" t="inlineStr">
        <is>
          <t>义乌</t>
        </is>
      </c>
      <c r="E548" s="1" t="inlineStr">
        <is>
          <t>RMN3</t>
        </is>
      </c>
      <c r="F548" s="134" t="n">
        <v>15.98</v>
      </c>
      <c r="G548" s="1" t="inlineStr">
        <is>
          <t>RMB/KG</t>
        </is>
      </c>
      <c r="H548" s="134" t="n">
        <v>0</v>
      </c>
      <c r="I548" s="1" t="inlineStr">
        <is>
          <t>2026-10-26</t>
        </is>
      </c>
      <c r="J548" s="1" t="inlineStr">
        <is>
          <t>凯琦FBA报价_当期.xlsx</t>
        </is>
      </c>
    </row>
    <row r="549">
      <c r="A549" s="1" t="inlineStr">
        <is>
          <t>纽约</t>
        </is>
      </c>
      <c r="B549" s="1" t="inlineStr">
        <is>
          <t>纽约</t>
        </is>
      </c>
      <c r="C549" s="1" t="inlineStr">
        <is>
          <t>Y琦速达纽约</t>
        </is>
      </c>
      <c r="D549" s="1" t="inlineStr">
        <is>
          <t>义乌</t>
        </is>
      </c>
      <c r="E549" s="1" t="inlineStr">
        <is>
          <t>CLT2</t>
        </is>
      </c>
      <c r="F549" s="134" t="n">
        <v>16.68</v>
      </c>
      <c r="G549" s="1" t="inlineStr">
        <is>
          <t>RMB/KG</t>
        </is>
      </c>
      <c r="H549" s="134" t="n">
        <v>0</v>
      </c>
      <c r="I549" s="1" t="inlineStr">
        <is>
          <t>2026-10-26</t>
        </is>
      </c>
      <c r="J549" s="1" t="inlineStr">
        <is>
          <t>凯琦FBA报价_当期.xlsx</t>
        </is>
      </c>
    </row>
    <row r="550">
      <c r="A550" s="1" t="inlineStr">
        <is>
          <t>纽约</t>
        </is>
      </c>
      <c r="B550" s="1" t="inlineStr">
        <is>
          <t>纽约</t>
        </is>
      </c>
      <c r="C550" s="1" t="inlineStr">
        <is>
          <t>Y琦速达纽约</t>
        </is>
      </c>
      <c r="D550" s="1" t="inlineStr">
        <is>
          <t>义乌</t>
        </is>
      </c>
      <c r="E550" s="1" t="inlineStr">
        <is>
          <t>GSO1</t>
        </is>
      </c>
      <c r="F550" s="134" t="n">
        <v>16.18</v>
      </c>
      <c r="G550" s="1" t="inlineStr">
        <is>
          <t>RMB/KG</t>
        </is>
      </c>
      <c r="H550" s="134" t="n">
        <v>0</v>
      </c>
      <c r="I550" s="1" t="inlineStr">
        <is>
          <t>2026-10-26</t>
        </is>
      </c>
      <c r="J550" s="1" t="inlineStr">
        <is>
          <t>凯琦FBA报价_当期.xlsx</t>
        </is>
      </c>
    </row>
    <row r="551">
      <c r="A551" s="1" t="inlineStr">
        <is>
          <t>纽约</t>
        </is>
      </c>
      <c r="B551" s="1" t="inlineStr">
        <is>
          <t>纽约</t>
        </is>
      </c>
      <c r="C551" s="1" t="inlineStr">
        <is>
          <t>Y琦速达纽约</t>
        </is>
      </c>
      <c r="D551" s="1" t="inlineStr">
        <is>
          <t>义乌</t>
        </is>
      </c>
      <c r="E551" s="1" t="inlineStr">
        <is>
          <t>AKR1</t>
        </is>
      </c>
      <c r="F551" s="134" t="n">
        <v>16.18</v>
      </c>
      <c r="G551" s="1" t="inlineStr">
        <is>
          <t>RMB/KG</t>
        </is>
      </c>
      <c r="H551" s="134" t="n">
        <v>0</v>
      </c>
      <c r="I551" s="1" t="inlineStr">
        <is>
          <t>2026-10-26</t>
        </is>
      </c>
      <c r="J551" s="1" t="inlineStr">
        <is>
          <t>凯琦FBA报价_当期.xlsx</t>
        </is>
      </c>
    </row>
    <row r="552">
      <c r="A552" s="1" t="inlineStr">
        <is>
          <t>纽约</t>
        </is>
      </c>
      <c r="B552" s="1" t="inlineStr">
        <is>
          <t>纽约</t>
        </is>
      </c>
      <c r="C552" s="1" t="inlineStr">
        <is>
          <t>Y琦速达纽约</t>
        </is>
      </c>
      <c r="D552" s="1" t="inlineStr">
        <is>
          <t>义乌</t>
        </is>
      </c>
      <c r="E552" s="1" t="inlineStr">
        <is>
          <t>XLX6</t>
        </is>
      </c>
      <c r="F552" s="134" t="n">
        <v>16.18</v>
      </c>
      <c r="G552" s="1" t="inlineStr">
        <is>
          <t>RMB/KG</t>
        </is>
      </c>
      <c r="H552" s="134" t="n">
        <v>0</v>
      </c>
      <c r="I552" s="1" t="inlineStr">
        <is>
          <t>2026-10-26</t>
        </is>
      </c>
      <c r="J552" s="1" t="inlineStr">
        <is>
          <t>凯琦FBA报价_当期.xlsx</t>
        </is>
      </c>
    </row>
    <row r="553">
      <c r="A553" s="1" t="inlineStr">
        <is>
          <t>纽约</t>
        </is>
      </c>
      <c r="B553" s="1" t="inlineStr">
        <is>
          <t>纽约</t>
        </is>
      </c>
      <c r="C553" s="1" t="inlineStr">
        <is>
          <t>Y琦速达纽约</t>
        </is>
      </c>
      <c r="D553" s="1" t="inlineStr">
        <is>
          <t>义乌</t>
        </is>
      </c>
      <c r="E553" s="1" t="inlineStr">
        <is>
          <t>RDU2</t>
        </is>
      </c>
      <c r="F553" s="134" t="n">
        <v>16.18</v>
      </c>
      <c r="G553" s="1" t="inlineStr">
        <is>
          <t>RMB/KG</t>
        </is>
      </c>
      <c r="H553" s="134" t="n">
        <v>0</v>
      </c>
      <c r="I553" s="1" t="inlineStr">
        <is>
          <t>2026-10-26</t>
        </is>
      </c>
      <c r="J553" s="1" t="inlineStr">
        <is>
          <t>凯琦FBA报价_当期.xlsx</t>
        </is>
      </c>
    </row>
    <row r="554">
      <c r="A554" s="1" t="inlineStr">
        <is>
          <t>纽约</t>
        </is>
      </c>
      <c r="B554" s="1" t="inlineStr">
        <is>
          <t>纽约</t>
        </is>
      </c>
      <c r="C554" s="1" t="inlineStr">
        <is>
          <t>Y琦速达纽约</t>
        </is>
      </c>
      <c r="D554" s="1" t="inlineStr">
        <is>
          <t>义乌</t>
        </is>
      </c>
      <c r="E554" s="1" t="inlineStr">
        <is>
          <t>HGR2</t>
        </is>
      </c>
      <c r="F554" s="134" t="n">
        <v>15.98</v>
      </c>
      <c r="G554" s="1" t="inlineStr">
        <is>
          <t>RMB/KG</t>
        </is>
      </c>
      <c r="H554" s="134" t="n">
        <v>0</v>
      </c>
      <c r="I554" s="1" t="inlineStr">
        <is>
          <t>2026-10-26</t>
        </is>
      </c>
      <c r="J554" s="1" t="inlineStr">
        <is>
          <t>凯琦FBA报价_当期.xlsx</t>
        </is>
      </c>
    </row>
    <row r="555">
      <c r="A555" s="1" t="inlineStr">
        <is>
          <t>纽约</t>
        </is>
      </c>
      <c r="B555" s="1" t="inlineStr">
        <is>
          <t>纽约</t>
        </is>
      </c>
      <c r="C555" s="1" t="inlineStr">
        <is>
          <t>Y琦速达纽约</t>
        </is>
      </c>
      <c r="D555" s="1" t="inlineStr">
        <is>
          <t>义乌</t>
        </is>
      </c>
      <c r="E555" s="1" t="inlineStr">
        <is>
          <t>IUST</t>
        </is>
      </c>
      <c r="F555" s="134" t="n">
        <v>16.28</v>
      </c>
      <c r="G555" s="1" t="inlineStr">
        <is>
          <t>RMB/KG</t>
        </is>
      </c>
      <c r="H555" s="134" t="n">
        <v>0</v>
      </c>
      <c r="I555" s="1" t="inlineStr">
        <is>
          <t>2026-10-26</t>
        </is>
      </c>
      <c r="J555" s="1" t="inlineStr">
        <is>
          <t>凯琦FBA报价_当期.xlsx</t>
        </is>
      </c>
    </row>
    <row r="556">
      <c r="A556" s="1" t="inlineStr">
        <is>
          <t>纽约</t>
        </is>
      </c>
      <c r="B556" s="1" t="inlineStr">
        <is>
          <t>纽约</t>
        </is>
      </c>
      <c r="C556" s="1" t="inlineStr">
        <is>
          <t>Y琦速达纽约</t>
        </is>
      </c>
      <c r="D556" s="1" t="inlineStr">
        <is>
          <t>义乌</t>
        </is>
      </c>
      <c r="E556" s="1" t="inlineStr">
        <is>
          <t>IUSR</t>
        </is>
      </c>
      <c r="F556" s="134" t="n">
        <v>16.78</v>
      </c>
      <c r="G556" s="1" t="inlineStr">
        <is>
          <t>RMB/KG</t>
        </is>
      </c>
      <c r="H556" s="134" t="n">
        <v>0</v>
      </c>
      <c r="I556" s="1" t="inlineStr">
        <is>
          <t>2026-10-26</t>
        </is>
      </c>
      <c r="J556" s="1" t="inlineStr">
        <is>
          <t>凯琦FBA报价_当期.xlsx</t>
        </is>
      </c>
    </row>
    <row r="557">
      <c r="A557" s="1" t="inlineStr">
        <is>
          <t>纽约</t>
        </is>
      </c>
      <c r="B557" s="1" t="inlineStr">
        <is>
          <t>纽约</t>
        </is>
      </c>
      <c r="C557" s="1" t="inlineStr">
        <is>
          <t>Y琦速达纽约</t>
        </is>
      </c>
      <c r="D557" s="1" t="inlineStr">
        <is>
          <t>义乌</t>
        </is>
      </c>
      <c r="E557" s="1" t="inlineStr">
        <is>
          <t>BNA2</t>
        </is>
      </c>
      <c r="F557" s="134" t="n">
        <v>17.08</v>
      </c>
      <c r="G557" s="1" t="inlineStr">
        <is>
          <t>RMB/KG</t>
        </is>
      </c>
      <c r="H557" s="134" t="n">
        <v>0</v>
      </c>
      <c r="I557" s="1" t="inlineStr">
        <is>
          <t>2026-10-26</t>
        </is>
      </c>
      <c r="J557" s="1" t="inlineStr">
        <is>
          <t>凯琦FBA报价_当期.xlsx</t>
        </is>
      </c>
    </row>
    <row r="558">
      <c r="A558" s="1" t="inlineStr">
        <is>
          <t>纽约</t>
        </is>
      </c>
      <c r="B558" s="1" t="inlineStr">
        <is>
          <t>纽约</t>
        </is>
      </c>
      <c r="C558" s="1" t="inlineStr">
        <is>
          <t>Y琦速达纽约</t>
        </is>
      </c>
      <c r="D558" s="1" t="inlineStr">
        <is>
          <t>义乌</t>
        </is>
      </c>
      <c r="E558" s="1" t="inlineStr">
        <is>
          <t>CHA2</t>
        </is>
      </c>
      <c r="F558" s="134" t="n">
        <v>17.38</v>
      </c>
      <c r="G558" s="1" t="inlineStr">
        <is>
          <t>RMB/KG</t>
        </is>
      </c>
      <c r="H558" s="134" t="n">
        <v>0</v>
      </c>
      <c r="I558" s="1" t="inlineStr">
        <is>
          <t>2026-10-26</t>
        </is>
      </c>
      <c r="J558" s="1" t="inlineStr">
        <is>
          <t>凯琦FBA报价_当期.xlsx</t>
        </is>
      </c>
    </row>
    <row r="559">
      <c r="A559" s="1" t="inlineStr">
        <is>
          <t>纽约</t>
        </is>
      </c>
      <c r="B559" s="1" t="inlineStr">
        <is>
          <t>纽约</t>
        </is>
      </c>
      <c r="C559" s="1" t="inlineStr">
        <is>
          <t>Y琦速达纽约</t>
        </is>
      </c>
      <c r="D559" s="1" t="inlineStr">
        <is>
          <t>义乌</t>
        </is>
      </c>
      <c r="E559" s="1" t="inlineStr">
        <is>
          <t>BNA6</t>
        </is>
      </c>
      <c r="F559" s="134" t="n">
        <v>17.08</v>
      </c>
      <c r="G559" s="1" t="inlineStr">
        <is>
          <t>RMB/KG</t>
        </is>
      </c>
      <c r="H559" s="134" t="n">
        <v>0</v>
      </c>
      <c r="I559" s="1" t="inlineStr">
        <is>
          <t>2026-10-26</t>
        </is>
      </c>
      <c r="J559" s="1" t="inlineStr">
        <is>
          <t>凯琦FBA报价_当期.xlsx</t>
        </is>
      </c>
    </row>
    <row r="560">
      <c r="A560" s="1" t="inlineStr">
        <is>
          <t>纽约</t>
        </is>
      </c>
      <c r="B560" s="1" t="inlineStr">
        <is>
          <t>纽约</t>
        </is>
      </c>
      <c r="C560" s="1" t="inlineStr">
        <is>
          <t>Y琦速达纽约</t>
        </is>
      </c>
      <c r="D560" s="1" t="inlineStr">
        <is>
          <t>义乌</t>
        </is>
      </c>
      <c r="E560" s="1" t="inlineStr">
        <is>
          <t>MGE1</t>
        </is>
      </c>
      <c r="F560" s="134" t="n">
        <v>17.08</v>
      </c>
      <c r="G560" s="1" t="inlineStr">
        <is>
          <t>RMB/KG</t>
        </is>
      </c>
      <c r="H560" s="134" t="n">
        <v>0</v>
      </c>
      <c r="I560" s="1" t="inlineStr">
        <is>
          <t>2026-10-26</t>
        </is>
      </c>
      <c r="J560" s="1" t="inlineStr">
        <is>
          <t>凯琦FBA报价_当期.xlsx</t>
        </is>
      </c>
    </row>
    <row r="561">
      <c r="A561" s="1" t="inlineStr">
        <is>
          <t>纽约</t>
        </is>
      </c>
      <c r="B561" s="1" t="inlineStr">
        <is>
          <t>纽约</t>
        </is>
      </c>
      <c r="C561" s="1" t="inlineStr">
        <is>
          <t>Y琦速达纽约</t>
        </is>
      </c>
      <c r="D561" s="1" t="inlineStr">
        <is>
          <t>义乌</t>
        </is>
      </c>
      <c r="E561" s="1" t="inlineStr">
        <is>
          <t>HSV1</t>
        </is>
      </c>
      <c r="F561" s="134" t="n">
        <v>17.08</v>
      </c>
      <c r="G561" s="1" t="inlineStr">
        <is>
          <t>RMB/KG</t>
        </is>
      </c>
      <c r="H561" s="134" t="n">
        <v>0</v>
      </c>
      <c r="I561" s="1" t="inlineStr">
        <is>
          <t>2026-10-26</t>
        </is>
      </c>
      <c r="J561" s="1" t="inlineStr">
        <is>
          <t>凯琦FBA报价_当期.xlsx</t>
        </is>
      </c>
    </row>
    <row r="562">
      <c r="A562" s="1" t="inlineStr">
        <is>
          <t>纽约</t>
        </is>
      </c>
      <c r="B562" s="1" t="inlineStr">
        <is>
          <t>纽约</t>
        </is>
      </c>
      <c r="C562" s="1" t="inlineStr">
        <is>
          <t>Y琦速达纽约</t>
        </is>
      </c>
      <c r="D562" s="1" t="inlineStr">
        <is>
          <t>义乌</t>
        </is>
      </c>
      <c r="E562" s="1" t="inlineStr">
        <is>
          <t>CMH3</t>
        </is>
      </c>
      <c r="F562" s="134" t="n">
        <v>16.38</v>
      </c>
      <c r="G562" s="1" t="inlineStr">
        <is>
          <t>RMB/KG</t>
        </is>
      </c>
      <c r="H562" s="134" t="n">
        <v>0</v>
      </c>
      <c r="I562" s="1" t="inlineStr">
        <is>
          <t>2026-10-26</t>
        </is>
      </c>
      <c r="J562" s="1" t="inlineStr">
        <is>
          <t>凯琦FBA报价_当期.xlsx</t>
        </is>
      </c>
    </row>
    <row r="563">
      <c r="A563" s="1" t="inlineStr">
        <is>
          <t>纽约</t>
        </is>
      </c>
      <c r="B563" s="1" t="inlineStr">
        <is>
          <t>纽约</t>
        </is>
      </c>
      <c r="C563" s="1" t="inlineStr">
        <is>
          <t>Y琦速达纽约</t>
        </is>
      </c>
      <c r="D563" s="1" t="inlineStr">
        <is>
          <t>义乌</t>
        </is>
      </c>
      <c r="E563" s="1" t="inlineStr">
        <is>
          <t>CMH2</t>
        </is>
      </c>
      <c r="F563" s="134" t="n">
        <v>16.38</v>
      </c>
      <c r="G563" s="1" t="inlineStr">
        <is>
          <t>RMB/KG</t>
        </is>
      </c>
      <c r="H563" s="134" t="n">
        <v>0</v>
      </c>
      <c r="I563" s="1" t="inlineStr">
        <is>
          <t>2026-10-26</t>
        </is>
      </c>
      <c r="J563" s="1" t="inlineStr">
        <is>
          <t>凯琦FBA报价_当期.xlsx</t>
        </is>
      </c>
    </row>
    <row r="564">
      <c r="A564" s="1" t="inlineStr">
        <is>
          <t>纽约</t>
        </is>
      </c>
      <c r="B564" s="1" t="inlineStr">
        <is>
          <t>纽约</t>
        </is>
      </c>
      <c r="C564" s="1" t="inlineStr">
        <is>
          <t>Y琦速达纽约</t>
        </is>
      </c>
      <c r="D564" s="1" t="inlineStr">
        <is>
          <t>义乌</t>
        </is>
      </c>
      <c r="E564" s="1" t="inlineStr">
        <is>
          <t>CLT6</t>
        </is>
      </c>
      <c r="F564" s="134" t="n">
        <v>16.38</v>
      </c>
      <c r="G564" s="1" t="inlineStr">
        <is>
          <t>RMB/KG</t>
        </is>
      </c>
      <c r="H564" s="134" t="n">
        <v>0</v>
      </c>
      <c r="I564" s="1" t="inlineStr">
        <is>
          <t>2026-10-26</t>
        </is>
      </c>
      <c r="J564" s="1" t="inlineStr">
        <is>
          <t>凯琦FBA报价_当期.xlsx</t>
        </is>
      </c>
    </row>
    <row r="565">
      <c r="A565" s="1" t="inlineStr">
        <is>
          <t>纽约</t>
        </is>
      </c>
      <c r="B565" s="1" t="inlineStr">
        <is>
          <t>纽约</t>
        </is>
      </c>
      <c r="C565" s="1" t="inlineStr">
        <is>
          <t>Y琦速达纽约</t>
        </is>
      </c>
      <c r="D565" s="1" t="inlineStr">
        <is>
          <t>义乌</t>
        </is>
      </c>
      <c r="E565" s="1" t="inlineStr">
        <is>
          <t>RYY2</t>
        </is>
      </c>
      <c r="F565" s="134" t="n">
        <v>17.38</v>
      </c>
      <c r="G565" s="1" t="inlineStr">
        <is>
          <t>RMB/KG</t>
        </is>
      </c>
      <c r="H565" s="134" t="n">
        <v>0</v>
      </c>
      <c r="I565" s="1" t="inlineStr">
        <is>
          <t>2026-10-26</t>
        </is>
      </c>
      <c r="J565" s="1" t="inlineStr">
        <is>
          <t>凯琦FBA报价_当期.xlsx</t>
        </is>
      </c>
    </row>
    <row r="566">
      <c r="A566" s="1" t="inlineStr">
        <is>
          <t>纽约</t>
        </is>
      </c>
      <c r="B566" s="1" t="inlineStr">
        <is>
          <t>纽约</t>
        </is>
      </c>
      <c r="C566" s="1" t="inlineStr">
        <is>
          <t>Y琦速达纽约</t>
        </is>
      </c>
      <c r="D566" s="1" t="inlineStr">
        <is>
          <t>义乌</t>
        </is>
      </c>
      <c r="E566" s="1" t="inlineStr">
        <is>
          <t>MGE3</t>
        </is>
      </c>
      <c r="F566" s="134" t="n">
        <v>17.38</v>
      </c>
      <c r="G566" s="1" t="inlineStr">
        <is>
          <t>RMB/KG</t>
        </is>
      </c>
      <c r="H566" s="134" t="n">
        <v>0</v>
      </c>
      <c r="I566" s="1" t="inlineStr">
        <is>
          <t>2026-10-26</t>
        </is>
      </c>
      <c r="J566" s="1" t="inlineStr">
        <is>
          <t>凯琦FBA报价_当期.xlsx</t>
        </is>
      </c>
    </row>
    <row r="567">
      <c r="A567" s="1" t="inlineStr">
        <is>
          <t>纽约</t>
        </is>
      </c>
      <c r="B567" s="1" t="inlineStr">
        <is>
          <t>纽约</t>
        </is>
      </c>
      <c r="C567" s="1" t="inlineStr">
        <is>
          <t>Y琦速达纽约</t>
        </is>
      </c>
      <c r="D567" s="1" t="inlineStr">
        <is>
          <t>义乌</t>
        </is>
      </c>
      <c r="E567" s="1" t="inlineStr">
        <is>
          <t>MCO2</t>
        </is>
      </c>
      <c r="F567" s="134" t="n">
        <v>18.08</v>
      </c>
      <c r="G567" s="1" t="inlineStr">
        <is>
          <t>RMB/KG</t>
        </is>
      </c>
      <c r="H567" s="134" t="n">
        <v>0</v>
      </c>
      <c r="I567" s="1" t="inlineStr">
        <is>
          <t>2026-10-26</t>
        </is>
      </c>
      <c r="J567" s="1" t="inlineStr">
        <is>
          <t>凯琦FBA报价_当期.xlsx</t>
        </is>
      </c>
    </row>
    <row r="568">
      <c r="A568" s="1" t="inlineStr">
        <is>
          <t>纽约</t>
        </is>
      </c>
      <c r="B568" s="1" t="inlineStr">
        <is>
          <t>纽约</t>
        </is>
      </c>
      <c r="C568" s="1" t="inlineStr">
        <is>
          <t>Y琦速达纽约</t>
        </is>
      </c>
      <c r="D568" s="1" t="inlineStr">
        <is>
          <t>义乌</t>
        </is>
      </c>
      <c r="E568" s="1" t="inlineStr">
        <is>
          <t>TPA2</t>
        </is>
      </c>
      <c r="F568" s="134" t="n">
        <v>18.08</v>
      </c>
      <c r="G568" s="1" t="inlineStr">
        <is>
          <t>RMB/KG</t>
        </is>
      </c>
      <c r="H568" s="134" t="n">
        <v>0</v>
      </c>
      <c r="I568" s="1" t="inlineStr">
        <is>
          <t>2026-10-26</t>
        </is>
      </c>
      <c r="J568" s="1" t="inlineStr">
        <is>
          <t>凯琦FBA报价_当期.xlsx</t>
        </is>
      </c>
    </row>
    <row r="569">
      <c r="A569" s="1" t="inlineStr">
        <is>
          <t>纽约</t>
        </is>
      </c>
      <c r="B569" s="1" t="inlineStr">
        <is>
          <t>纽约</t>
        </is>
      </c>
      <c r="C569" s="1" t="inlineStr">
        <is>
          <t>Y琦速达纽约</t>
        </is>
      </c>
      <c r="D569" s="1" t="inlineStr">
        <is>
          <t>义乌</t>
        </is>
      </c>
      <c r="E569" s="1" t="inlineStr">
        <is>
          <t>TPA3</t>
        </is>
      </c>
      <c r="F569" s="134" t="n">
        <v>18.08</v>
      </c>
      <c r="G569" s="1" t="inlineStr">
        <is>
          <t>RMB/KG</t>
        </is>
      </c>
      <c r="H569" s="134" t="n">
        <v>0</v>
      </c>
      <c r="I569" s="1" t="inlineStr">
        <is>
          <t>2026-10-26</t>
        </is>
      </c>
      <c r="J569" s="1" t="inlineStr">
        <is>
          <t>凯琦FBA报价_当期.xlsx</t>
        </is>
      </c>
    </row>
    <row r="570">
      <c r="A570" s="1" t="inlineStr">
        <is>
          <t>纽约</t>
        </is>
      </c>
      <c r="B570" s="1" t="inlineStr">
        <is>
          <t>纽约</t>
        </is>
      </c>
      <c r="C570" s="1" t="inlineStr">
        <is>
          <t>Y-纽约快速达</t>
        </is>
      </c>
      <c r="D570" s="1" t="inlineStr">
        <is>
          <t>义乌</t>
        </is>
      </c>
      <c r="E570" s="1" t="inlineStr">
        <is>
          <t>TEB3</t>
        </is>
      </c>
      <c r="F570" s="134" t="n">
        <v>13.68</v>
      </c>
      <c r="G570" s="1" t="inlineStr">
        <is>
          <t>RMB/KG</t>
        </is>
      </c>
      <c r="H570" s="134" t="n">
        <v>0</v>
      </c>
      <c r="I570" s="1" t="inlineStr">
        <is>
          <t>2026-10-26</t>
        </is>
      </c>
      <c r="J570" s="1" t="inlineStr">
        <is>
          <t>凯琦FBA报价_当期.xlsx</t>
        </is>
      </c>
    </row>
    <row r="571">
      <c r="A571" s="1" t="inlineStr">
        <is>
          <t>纽约</t>
        </is>
      </c>
      <c r="B571" s="1" t="inlineStr">
        <is>
          <t>纽约</t>
        </is>
      </c>
      <c r="C571" s="1" t="inlineStr">
        <is>
          <t>Y-纽约快速达</t>
        </is>
      </c>
      <c r="D571" s="1" t="inlineStr">
        <is>
          <t>义乌</t>
        </is>
      </c>
      <c r="E571" s="1" t="inlineStr">
        <is>
          <t>TEB4</t>
        </is>
      </c>
      <c r="F571" s="134" t="n">
        <v>13.68</v>
      </c>
      <c r="G571" s="1" t="inlineStr">
        <is>
          <t>RMB/KG</t>
        </is>
      </c>
      <c r="H571" s="134" t="n">
        <v>0</v>
      </c>
      <c r="I571" s="1" t="inlineStr">
        <is>
          <t>2026-10-26</t>
        </is>
      </c>
      <c r="J571" s="1" t="inlineStr">
        <is>
          <t>凯琦FBA报价_当期.xlsx</t>
        </is>
      </c>
    </row>
    <row r="572">
      <c r="A572" s="1" t="inlineStr">
        <is>
          <t>纽约</t>
        </is>
      </c>
      <c r="B572" s="1" t="inlineStr">
        <is>
          <t>纽约</t>
        </is>
      </c>
      <c r="C572" s="1" t="inlineStr">
        <is>
          <t>Y-纽约快速达</t>
        </is>
      </c>
      <c r="D572" s="1" t="inlineStr">
        <is>
          <t>义乌</t>
        </is>
      </c>
      <c r="E572" s="1" t="inlineStr">
        <is>
          <t>TEB6</t>
        </is>
      </c>
      <c r="F572" s="134" t="n">
        <v>13.68</v>
      </c>
      <c r="G572" s="1" t="inlineStr">
        <is>
          <t>RMB/KG</t>
        </is>
      </c>
      <c r="H572" s="134" t="n">
        <v>0</v>
      </c>
      <c r="I572" s="1" t="inlineStr">
        <is>
          <t>2026-10-26</t>
        </is>
      </c>
      <c r="J572" s="1" t="inlineStr">
        <is>
          <t>凯琦FBA报价_当期.xlsx</t>
        </is>
      </c>
    </row>
    <row r="573">
      <c r="A573" s="1" t="inlineStr">
        <is>
          <t>纽约</t>
        </is>
      </c>
      <c r="B573" s="1" t="inlineStr">
        <is>
          <t>纽约</t>
        </is>
      </c>
      <c r="C573" s="1" t="inlineStr">
        <is>
          <t>Y-纽约快速达</t>
        </is>
      </c>
      <c r="D573" s="1" t="inlineStr">
        <is>
          <t>义乌</t>
        </is>
      </c>
      <c r="E573" s="1" t="inlineStr">
        <is>
          <t>TEB9</t>
        </is>
      </c>
      <c r="F573" s="134" t="n">
        <v>14.08</v>
      </c>
      <c r="G573" s="1" t="inlineStr">
        <is>
          <t>RMB/KG</t>
        </is>
      </c>
      <c r="H573" s="134" t="n">
        <v>0</v>
      </c>
      <c r="I573" s="1" t="inlineStr">
        <is>
          <t>2026-10-26</t>
        </is>
      </c>
      <c r="J573" s="1" t="inlineStr">
        <is>
          <t>凯琦FBA报价_当期.xlsx</t>
        </is>
      </c>
    </row>
    <row r="574">
      <c r="A574" s="1" t="inlineStr">
        <is>
          <t>纽约</t>
        </is>
      </c>
      <c r="B574" s="1" t="inlineStr">
        <is>
          <t>纽约</t>
        </is>
      </c>
      <c r="C574" s="1" t="inlineStr">
        <is>
          <t>Y-纽约快速达</t>
        </is>
      </c>
      <c r="D574" s="1" t="inlineStr">
        <is>
          <t>义乌</t>
        </is>
      </c>
      <c r="E574" s="1" t="inlineStr">
        <is>
          <t>ABE3</t>
        </is>
      </c>
      <c r="F574" s="134" t="n">
        <v>13.78</v>
      </c>
      <c r="G574" s="1" t="inlineStr">
        <is>
          <t>RMB/KG</t>
        </is>
      </c>
      <c r="H574" s="134" t="n">
        <v>0</v>
      </c>
      <c r="I574" s="1" t="inlineStr">
        <is>
          <t>2026-10-26</t>
        </is>
      </c>
      <c r="J574" s="1" t="inlineStr">
        <is>
          <t>凯琦FBA报价_当期.xlsx</t>
        </is>
      </c>
    </row>
    <row r="575">
      <c r="A575" s="1" t="inlineStr">
        <is>
          <t>纽约</t>
        </is>
      </c>
      <c r="B575" s="1" t="inlineStr">
        <is>
          <t>纽约</t>
        </is>
      </c>
      <c r="C575" s="1" t="inlineStr">
        <is>
          <t>Y-纽约快速达</t>
        </is>
      </c>
      <c r="D575" s="1" t="inlineStr">
        <is>
          <t>义乌</t>
        </is>
      </c>
      <c r="E575" s="1" t="inlineStr">
        <is>
          <t>ABE4</t>
        </is>
      </c>
      <c r="F575" s="134" t="n">
        <v>13.78</v>
      </c>
      <c r="G575" s="1" t="inlineStr">
        <is>
          <t>RMB/KG</t>
        </is>
      </c>
      <c r="H575" s="134" t="n">
        <v>0</v>
      </c>
      <c r="I575" s="1" t="inlineStr">
        <is>
          <t>2026-10-26</t>
        </is>
      </c>
      <c r="J575" s="1" t="inlineStr">
        <is>
          <t>凯琦FBA报价_当期.xlsx</t>
        </is>
      </c>
    </row>
    <row r="576">
      <c r="A576" s="1" t="inlineStr">
        <is>
          <t>纽约</t>
        </is>
      </c>
      <c r="B576" s="1" t="inlineStr">
        <is>
          <t>纽约</t>
        </is>
      </c>
      <c r="C576" s="1" t="inlineStr">
        <is>
          <t>Y-纽约快速达</t>
        </is>
      </c>
      <c r="D576" s="1" t="inlineStr">
        <is>
          <t>义乌</t>
        </is>
      </c>
      <c r="E576" s="1" t="inlineStr">
        <is>
          <t>ABE8</t>
        </is>
      </c>
      <c r="F576" s="134" t="n">
        <v>13.68</v>
      </c>
      <c r="G576" s="1" t="inlineStr">
        <is>
          <t>RMB/KG</t>
        </is>
      </c>
      <c r="H576" s="134" t="n">
        <v>0</v>
      </c>
      <c r="I576" s="1" t="inlineStr">
        <is>
          <t>2026-10-26</t>
        </is>
      </c>
      <c r="J576" s="1" t="inlineStr">
        <is>
          <t>凯琦FBA报价_当期.xlsx</t>
        </is>
      </c>
    </row>
    <row r="577">
      <c r="A577" s="1" t="inlineStr">
        <is>
          <t>纽约</t>
        </is>
      </c>
      <c r="B577" s="1" t="inlineStr">
        <is>
          <t>纽约</t>
        </is>
      </c>
      <c r="C577" s="1" t="inlineStr">
        <is>
          <t>Y-纽约快速达</t>
        </is>
      </c>
      <c r="D577" s="1" t="inlineStr">
        <is>
          <t>义乌</t>
        </is>
      </c>
      <c r="E577" s="1" t="inlineStr">
        <is>
          <t>ACY2</t>
        </is>
      </c>
      <c r="F577" s="134" t="n">
        <v>13.68</v>
      </c>
      <c r="G577" s="1" t="inlineStr">
        <is>
          <t>RMB/KG</t>
        </is>
      </c>
      <c r="H577" s="134" t="n">
        <v>0</v>
      </c>
      <c r="I577" s="1" t="inlineStr">
        <is>
          <t>2026-10-26</t>
        </is>
      </c>
      <c r="J577" s="1" t="inlineStr">
        <is>
          <t>凯琦FBA报价_当期.xlsx</t>
        </is>
      </c>
    </row>
    <row r="578">
      <c r="A578" s="1" t="inlineStr">
        <is>
          <t>纽约</t>
        </is>
      </c>
      <c r="B578" s="1" t="inlineStr">
        <is>
          <t>纽约</t>
        </is>
      </c>
      <c r="C578" s="1" t="inlineStr">
        <is>
          <t>Y-纽约快速达</t>
        </is>
      </c>
      <c r="D578" s="1" t="inlineStr">
        <is>
          <t>义乌</t>
        </is>
      </c>
      <c r="E578" s="1" t="inlineStr">
        <is>
          <t>ILG1</t>
        </is>
      </c>
      <c r="F578" s="134" t="n">
        <v>14.18</v>
      </c>
      <c r="G578" s="1" t="inlineStr">
        <is>
          <t>RMB/KG</t>
        </is>
      </c>
      <c r="H578" s="134" t="n">
        <v>0</v>
      </c>
      <c r="I578" s="1" t="inlineStr">
        <is>
          <t>2026-10-26</t>
        </is>
      </c>
      <c r="J578" s="1" t="inlineStr">
        <is>
          <t>凯琦FBA报价_当期.xlsx</t>
        </is>
      </c>
    </row>
    <row r="579">
      <c r="A579" s="1" t="inlineStr">
        <is>
          <t>纽约</t>
        </is>
      </c>
      <c r="B579" s="1" t="inlineStr">
        <is>
          <t>纽约</t>
        </is>
      </c>
      <c r="C579" s="1" t="inlineStr">
        <is>
          <t>Y-纽约快速达</t>
        </is>
      </c>
      <c r="D579" s="1" t="inlineStr">
        <is>
          <t>义乌</t>
        </is>
      </c>
      <c r="E579" s="1" t="inlineStr">
        <is>
          <t>HEA2</t>
        </is>
      </c>
      <c r="F579" s="134" t="n">
        <v>13.78</v>
      </c>
      <c r="G579" s="1" t="inlineStr">
        <is>
          <t>RMB/KG</t>
        </is>
      </c>
      <c r="H579" s="134" t="n">
        <v>0</v>
      </c>
      <c r="I579" s="1" t="inlineStr">
        <is>
          <t>2026-10-26</t>
        </is>
      </c>
      <c r="J579" s="1" t="inlineStr">
        <is>
          <t>凯琦FBA报价_当期.xlsx</t>
        </is>
      </c>
    </row>
    <row r="580">
      <c r="A580" s="1" t="inlineStr">
        <is>
          <t>纽约</t>
        </is>
      </c>
      <c r="B580" s="1" t="inlineStr">
        <is>
          <t>纽约</t>
        </is>
      </c>
      <c r="C580" s="1" t="inlineStr">
        <is>
          <t>Y-纽约快速达</t>
        </is>
      </c>
      <c r="D580" s="1" t="inlineStr">
        <is>
          <t>义乌</t>
        </is>
      </c>
      <c r="E580" s="1" t="inlineStr">
        <is>
          <t>IPA1</t>
        </is>
      </c>
      <c r="F580" s="134" t="n">
        <v>13.78</v>
      </c>
      <c r="G580" s="1" t="inlineStr">
        <is>
          <t>RMB/KG</t>
        </is>
      </c>
      <c r="H580" s="134" t="n">
        <v>0</v>
      </c>
      <c r="I580" s="1" t="inlineStr">
        <is>
          <t>2026-10-26</t>
        </is>
      </c>
      <c r="J580" s="1" t="inlineStr">
        <is>
          <t>凯琦FBA报价_当期.xlsx</t>
        </is>
      </c>
    </row>
    <row r="581">
      <c r="A581" s="1" t="inlineStr">
        <is>
          <t>纽约</t>
        </is>
      </c>
      <c r="B581" s="1" t="inlineStr">
        <is>
          <t>纽约</t>
        </is>
      </c>
      <c r="C581" s="1" t="inlineStr">
        <is>
          <t>Y-纽约快速达</t>
        </is>
      </c>
      <c r="D581" s="1" t="inlineStr">
        <is>
          <t>义乌</t>
        </is>
      </c>
      <c r="E581" s="1" t="inlineStr">
        <is>
          <t>AVP1</t>
        </is>
      </c>
      <c r="F581" s="134" t="n">
        <v>13.78</v>
      </c>
      <c r="G581" s="1" t="inlineStr">
        <is>
          <t>RMB/KG</t>
        </is>
      </c>
      <c r="H581" s="134" t="n">
        <v>0</v>
      </c>
      <c r="I581" s="1" t="inlineStr">
        <is>
          <t>2026-10-26</t>
        </is>
      </c>
      <c r="J581" s="1" t="inlineStr">
        <is>
          <t>凯琦FBA报价_当期.xlsx</t>
        </is>
      </c>
    </row>
    <row r="582">
      <c r="A582" s="1" t="inlineStr">
        <is>
          <t>纽约</t>
        </is>
      </c>
      <c r="B582" s="1" t="inlineStr">
        <is>
          <t>纽约</t>
        </is>
      </c>
      <c r="C582" s="1" t="inlineStr">
        <is>
          <t>Y-纽约快速达</t>
        </is>
      </c>
      <c r="D582" s="1" t="inlineStr">
        <is>
          <t>义乌</t>
        </is>
      </c>
      <c r="E582" s="1" t="inlineStr">
        <is>
          <t>AVP9</t>
        </is>
      </c>
      <c r="F582" s="134" t="n">
        <v>13.78</v>
      </c>
      <c r="G582" s="1" t="inlineStr">
        <is>
          <t>RMB/KG</t>
        </is>
      </c>
      <c r="H582" s="134" t="n">
        <v>0</v>
      </c>
      <c r="I582" s="1" t="inlineStr">
        <is>
          <t>2026-10-26</t>
        </is>
      </c>
      <c r="J582" s="1" t="inlineStr">
        <is>
          <t>凯琦FBA报价_当期.xlsx</t>
        </is>
      </c>
    </row>
    <row r="583">
      <c r="A583" s="1" t="inlineStr">
        <is>
          <t>纽约</t>
        </is>
      </c>
      <c r="B583" s="1" t="inlineStr">
        <is>
          <t>纽约</t>
        </is>
      </c>
      <c r="C583" s="1" t="inlineStr">
        <is>
          <t>Y-纽约快速达</t>
        </is>
      </c>
      <c r="D583" s="1" t="inlineStr">
        <is>
          <t>义乌</t>
        </is>
      </c>
      <c r="E583" s="1" t="inlineStr">
        <is>
          <t>XEW5</t>
        </is>
      </c>
      <c r="F583" s="134" t="n">
        <v>13.78</v>
      </c>
      <c r="G583" s="1" t="inlineStr">
        <is>
          <t>RMB/KG</t>
        </is>
      </c>
      <c r="H583" s="134" t="n">
        <v>0</v>
      </c>
      <c r="I583" s="1" t="inlineStr">
        <is>
          <t>2026-10-26</t>
        </is>
      </c>
      <c r="J583" s="1" t="inlineStr">
        <is>
          <t>凯琦FBA报价_当期.xlsx</t>
        </is>
      </c>
    </row>
    <row r="584">
      <c r="A584" s="1" t="inlineStr">
        <is>
          <t>纽约</t>
        </is>
      </c>
      <c r="B584" s="1" t="inlineStr">
        <is>
          <t>纽约</t>
        </is>
      </c>
      <c r="C584" s="1" t="inlineStr">
        <is>
          <t>Y-纽约快速达</t>
        </is>
      </c>
      <c r="D584" s="1" t="inlineStr">
        <is>
          <t>义乌</t>
        </is>
      </c>
      <c r="E584" s="1" t="inlineStr">
        <is>
          <t>SWF1</t>
        </is>
      </c>
      <c r="F584" s="134" t="n">
        <v>14.08</v>
      </c>
      <c r="G584" s="1" t="inlineStr">
        <is>
          <t>RMB/KG</t>
        </is>
      </c>
      <c r="H584" s="134" t="n">
        <v>0</v>
      </c>
      <c r="I584" s="1" t="inlineStr">
        <is>
          <t>2026-10-26</t>
        </is>
      </c>
      <c r="J584" s="1" t="inlineStr">
        <is>
          <t>凯琦FBA报价_当期.xlsx</t>
        </is>
      </c>
    </row>
    <row r="585">
      <c r="A585" s="1" t="inlineStr">
        <is>
          <t>纽约</t>
        </is>
      </c>
      <c r="B585" s="1" t="inlineStr">
        <is>
          <t>纽约</t>
        </is>
      </c>
      <c r="C585" s="1" t="inlineStr">
        <is>
          <t>Y-纽约快速达</t>
        </is>
      </c>
      <c r="D585" s="1" t="inlineStr">
        <is>
          <t>义乌</t>
        </is>
      </c>
      <c r="E585" s="1" t="inlineStr">
        <is>
          <t>SWF2</t>
        </is>
      </c>
      <c r="F585" s="134" t="n">
        <v>14.08</v>
      </c>
      <c r="G585" s="1" t="inlineStr">
        <is>
          <t>RMB/KG</t>
        </is>
      </c>
      <c r="H585" s="134" t="n">
        <v>0</v>
      </c>
      <c r="I585" s="1" t="inlineStr">
        <is>
          <t>2026-10-26</t>
        </is>
      </c>
      <c r="J585" s="1" t="inlineStr">
        <is>
          <t>凯琦FBA报价_当期.xlsx</t>
        </is>
      </c>
    </row>
    <row r="586">
      <c r="A586" s="1" t="inlineStr">
        <is>
          <t>纽约</t>
        </is>
      </c>
      <c r="B586" s="1" t="inlineStr">
        <is>
          <t>纽约</t>
        </is>
      </c>
      <c r="C586" s="1" t="inlineStr">
        <is>
          <t>Y-纽约快速达</t>
        </is>
      </c>
      <c r="D586" s="1" t="inlineStr">
        <is>
          <t>义乌</t>
        </is>
      </c>
      <c r="E586" s="1" t="inlineStr">
        <is>
          <t>MDT1</t>
        </is>
      </c>
      <c r="F586" s="134" t="n">
        <v>14.08</v>
      </c>
      <c r="G586" s="1" t="inlineStr">
        <is>
          <t>RMB/KG</t>
        </is>
      </c>
      <c r="H586" s="134" t="n">
        <v>0</v>
      </c>
      <c r="I586" s="1" t="inlineStr">
        <is>
          <t>2026-10-26</t>
        </is>
      </c>
      <c r="J586" s="1" t="inlineStr">
        <is>
          <t>凯琦FBA报价_当期.xlsx</t>
        </is>
      </c>
    </row>
    <row r="587">
      <c r="A587" s="1" t="inlineStr">
        <is>
          <t>纽约</t>
        </is>
      </c>
      <c r="B587" s="1" t="inlineStr">
        <is>
          <t>纽约</t>
        </is>
      </c>
      <c r="C587" s="1" t="inlineStr">
        <is>
          <t>Y-纽约快速达</t>
        </is>
      </c>
      <c r="D587" s="1" t="inlineStr">
        <is>
          <t>义乌</t>
        </is>
      </c>
      <c r="E587" s="1" t="inlineStr">
        <is>
          <t>MDT4</t>
        </is>
      </c>
      <c r="F587" s="134" t="n">
        <v>14.08</v>
      </c>
      <c r="G587" s="1" t="inlineStr">
        <is>
          <t>RMB/KG</t>
        </is>
      </c>
      <c r="H587" s="134" t="n">
        <v>0</v>
      </c>
      <c r="I587" s="1" t="inlineStr">
        <is>
          <t>2026-10-26</t>
        </is>
      </c>
      <c r="J587" s="1" t="inlineStr">
        <is>
          <t>凯琦FBA报价_当期.xlsx</t>
        </is>
      </c>
    </row>
    <row r="588">
      <c r="A588" s="1" t="inlineStr">
        <is>
          <t>纽约</t>
        </is>
      </c>
      <c r="B588" s="1" t="inlineStr">
        <is>
          <t>纽约</t>
        </is>
      </c>
      <c r="C588" s="1" t="inlineStr">
        <is>
          <t>Y-纽约快速达</t>
        </is>
      </c>
      <c r="D588" s="1" t="inlineStr">
        <is>
          <t>义乌</t>
        </is>
      </c>
      <c r="E588" s="1" t="inlineStr">
        <is>
          <t>DCA6</t>
        </is>
      </c>
      <c r="F588" s="134" t="n">
        <v>14.18</v>
      </c>
      <c r="G588" s="1" t="inlineStr">
        <is>
          <t>RMB/KG</t>
        </is>
      </c>
      <c r="H588" s="134" t="n">
        <v>0</v>
      </c>
      <c r="I588" s="1" t="inlineStr">
        <is>
          <t>2026-10-26</t>
        </is>
      </c>
      <c r="J588" s="1" t="inlineStr">
        <is>
          <t>凯琦FBA报价_当期.xlsx</t>
        </is>
      </c>
    </row>
    <row r="589">
      <c r="A589" s="1" t="inlineStr">
        <is>
          <t>纽约</t>
        </is>
      </c>
      <c r="B589" s="1" t="inlineStr">
        <is>
          <t>纽约</t>
        </is>
      </c>
      <c r="C589" s="1" t="inlineStr">
        <is>
          <t>Y-纽约快速达</t>
        </is>
      </c>
      <c r="D589" s="1" t="inlineStr">
        <is>
          <t>义乌</t>
        </is>
      </c>
      <c r="E589" s="1" t="inlineStr">
        <is>
          <t>TTN2</t>
        </is>
      </c>
      <c r="F589" s="134" t="n">
        <v>13.88</v>
      </c>
      <c r="G589" s="1" t="inlineStr">
        <is>
          <t>RMB/KG</t>
        </is>
      </c>
      <c r="H589" s="134" t="n">
        <v>0</v>
      </c>
      <c r="I589" s="1" t="inlineStr">
        <is>
          <t>2026-10-26</t>
        </is>
      </c>
      <c r="J589" s="1" t="inlineStr">
        <is>
          <t>凯琦FBA报价_当期.xlsx</t>
        </is>
      </c>
    </row>
    <row r="590">
      <c r="A590" s="1" t="inlineStr">
        <is>
          <t>纽约</t>
        </is>
      </c>
      <c r="B590" s="1" t="inlineStr">
        <is>
          <t>纽约</t>
        </is>
      </c>
      <c r="C590" s="1" t="inlineStr">
        <is>
          <t>Y-纽约快速达</t>
        </is>
      </c>
      <c r="D590" s="1" t="inlineStr">
        <is>
          <t>义乌</t>
        </is>
      </c>
      <c r="E590" s="1" t="inlineStr">
        <is>
          <t>HIA1</t>
        </is>
      </c>
      <c r="F590" s="134" t="n">
        <v>14.28</v>
      </c>
      <c r="G590" s="1" t="inlineStr">
        <is>
          <t>RMB/KG</t>
        </is>
      </c>
      <c r="H590" s="134" t="n">
        <v>0</v>
      </c>
      <c r="I590" s="1" t="inlineStr">
        <is>
          <t>2026-10-26</t>
        </is>
      </c>
      <c r="J590" s="1" t="inlineStr">
        <is>
          <t>凯琦FBA报价_当期.xlsx</t>
        </is>
      </c>
    </row>
    <row r="591">
      <c r="A591" s="1" t="inlineStr">
        <is>
          <t>纽约</t>
        </is>
      </c>
      <c r="B591" s="1" t="inlineStr">
        <is>
          <t>纽约</t>
        </is>
      </c>
      <c r="C591" s="1" t="inlineStr">
        <is>
          <t>Y-纽约快速达</t>
        </is>
      </c>
      <c r="D591" s="1" t="inlineStr">
        <is>
          <t>义乌</t>
        </is>
      </c>
      <c r="E591" s="1" t="inlineStr">
        <is>
          <t>LBE1</t>
        </is>
      </c>
      <c r="F591" s="134" t="n">
        <v>14.28</v>
      </c>
      <c r="G591" s="1" t="inlineStr">
        <is>
          <t>RMB/KG</t>
        </is>
      </c>
      <c r="H591" s="134" t="n">
        <v>0</v>
      </c>
      <c r="I591" s="1" t="inlineStr">
        <is>
          <t>2026-10-26</t>
        </is>
      </c>
      <c r="J591" s="1" t="inlineStr">
        <is>
          <t>凯琦FBA报价_当期.xlsx</t>
        </is>
      </c>
    </row>
    <row r="592">
      <c r="A592" s="1" t="inlineStr">
        <is>
          <t>纽约</t>
        </is>
      </c>
      <c r="B592" s="1" t="inlineStr">
        <is>
          <t>纽约</t>
        </is>
      </c>
      <c r="C592" s="1" t="inlineStr">
        <is>
          <t>Y-纽约快速达</t>
        </is>
      </c>
      <c r="D592" s="1" t="inlineStr">
        <is>
          <t>义乌</t>
        </is>
      </c>
      <c r="E592" s="1" t="inlineStr">
        <is>
          <t>ALB1</t>
        </is>
      </c>
      <c r="F592" s="134" t="n">
        <v>14.28</v>
      </c>
      <c r="G592" s="1" t="inlineStr">
        <is>
          <t>RMB/KG</t>
        </is>
      </c>
      <c r="H592" s="134" t="n">
        <v>0</v>
      </c>
      <c r="I592" s="1" t="inlineStr">
        <is>
          <t>2026-10-26</t>
        </is>
      </c>
      <c r="J592" s="1" t="inlineStr">
        <is>
          <t>凯琦FBA报价_当期.xlsx</t>
        </is>
      </c>
    </row>
    <row r="593">
      <c r="A593" s="1" t="inlineStr">
        <is>
          <t>纽约</t>
        </is>
      </c>
      <c r="B593" s="1" t="inlineStr">
        <is>
          <t>纽约</t>
        </is>
      </c>
      <c r="C593" s="1" t="inlineStr">
        <is>
          <t>Y-纽约快速达</t>
        </is>
      </c>
      <c r="D593" s="1" t="inlineStr">
        <is>
          <t>义乌</t>
        </is>
      </c>
      <c r="E593" s="1" t="inlineStr">
        <is>
          <t>PIT2</t>
        </is>
      </c>
      <c r="F593" s="134" t="n">
        <v>14.28</v>
      </c>
      <c r="G593" s="1" t="inlineStr">
        <is>
          <t>RMB/KG</t>
        </is>
      </c>
      <c r="H593" s="134" t="n">
        <v>0</v>
      </c>
      <c r="I593" s="1" t="inlineStr">
        <is>
          <t>2026-10-26</t>
        </is>
      </c>
      <c r="J593" s="1" t="inlineStr">
        <is>
          <t>凯琦FBA报价_当期.xlsx</t>
        </is>
      </c>
    </row>
    <row r="594">
      <c r="A594" s="1" t="inlineStr">
        <is>
          <t>纽约</t>
        </is>
      </c>
      <c r="B594" s="1" t="inlineStr">
        <is>
          <t>纽约</t>
        </is>
      </c>
      <c r="C594" s="1" t="inlineStr">
        <is>
          <t>Y-纽约快速达</t>
        </is>
      </c>
      <c r="D594" s="1" t="inlineStr">
        <is>
          <t>义乌</t>
        </is>
      </c>
      <c r="E594" s="1" t="inlineStr">
        <is>
          <t>XLX1</t>
        </is>
      </c>
      <c r="F594" s="134" t="n">
        <v>14.28</v>
      </c>
      <c r="G594" s="1" t="inlineStr">
        <is>
          <t>RMB/KG</t>
        </is>
      </c>
      <c r="H594" s="134" t="n">
        <v>0</v>
      </c>
      <c r="I594" s="1" t="inlineStr">
        <is>
          <t>2026-10-26</t>
        </is>
      </c>
      <c r="J594" s="1" t="inlineStr">
        <is>
          <t>凯琦FBA报价_当期.xlsx</t>
        </is>
      </c>
    </row>
    <row r="595">
      <c r="A595" s="1" t="inlineStr">
        <is>
          <t>纽约</t>
        </is>
      </c>
      <c r="B595" s="1" t="inlineStr">
        <is>
          <t>纽约</t>
        </is>
      </c>
      <c r="C595" s="1" t="inlineStr">
        <is>
          <t>Y-纽约快速达</t>
        </is>
      </c>
      <c r="D595" s="1" t="inlineStr">
        <is>
          <t>义乌</t>
        </is>
      </c>
      <c r="E595" s="1" t="inlineStr">
        <is>
          <t>HGR6</t>
        </is>
      </c>
      <c r="F595" s="134" t="n">
        <v>14.58</v>
      </c>
      <c r="G595" s="1" t="inlineStr">
        <is>
          <t>RMB/KG</t>
        </is>
      </c>
      <c r="H595" s="134" t="n">
        <v>0</v>
      </c>
      <c r="I595" s="1" t="inlineStr">
        <is>
          <t>2026-10-26</t>
        </is>
      </c>
      <c r="J595" s="1" t="inlineStr">
        <is>
          <t>凯琦FBA报价_当期.xlsx</t>
        </is>
      </c>
    </row>
    <row r="596">
      <c r="A596" s="1" t="inlineStr">
        <is>
          <t>纽约</t>
        </is>
      </c>
      <c r="B596" s="1" t="inlineStr">
        <is>
          <t>纽约</t>
        </is>
      </c>
      <c r="C596" s="1" t="inlineStr">
        <is>
          <t>Y-纽约快速达</t>
        </is>
      </c>
      <c r="D596" s="1" t="inlineStr">
        <is>
          <t>义乌</t>
        </is>
      </c>
      <c r="E596" s="1" t="inlineStr">
        <is>
          <t>BOS7</t>
        </is>
      </c>
      <c r="F596" s="134" t="n">
        <v>14.58</v>
      </c>
      <c r="G596" s="1" t="inlineStr">
        <is>
          <t>RMB/KG</t>
        </is>
      </c>
      <c r="H596" s="134" t="n">
        <v>0</v>
      </c>
      <c r="I596" s="1" t="inlineStr">
        <is>
          <t>2026-10-26</t>
        </is>
      </c>
      <c r="J596" s="1" t="inlineStr">
        <is>
          <t>凯琦FBA报价_当期.xlsx</t>
        </is>
      </c>
    </row>
    <row r="597">
      <c r="A597" s="1" t="inlineStr">
        <is>
          <t>纽约</t>
        </is>
      </c>
      <c r="B597" s="1" t="inlineStr">
        <is>
          <t>纽约</t>
        </is>
      </c>
      <c r="C597" s="1" t="inlineStr">
        <is>
          <t>Y-纽约快速达</t>
        </is>
      </c>
      <c r="D597" s="1" t="inlineStr">
        <is>
          <t>义乌</t>
        </is>
      </c>
      <c r="E597" s="1" t="inlineStr">
        <is>
          <t>BWI4</t>
        </is>
      </c>
      <c r="F597" s="134" t="n">
        <v>14.58</v>
      </c>
      <c r="G597" s="1" t="inlineStr">
        <is>
          <t>RMB/KG</t>
        </is>
      </c>
      <c r="H597" s="134" t="n">
        <v>0</v>
      </c>
      <c r="I597" s="1" t="inlineStr">
        <is>
          <t>2026-10-26</t>
        </is>
      </c>
      <c r="J597" s="1" t="inlineStr">
        <is>
          <t>凯琦FBA报价_当期.xlsx</t>
        </is>
      </c>
    </row>
    <row r="598">
      <c r="A598" s="1" t="inlineStr">
        <is>
          <t>纽约</t>
        </is>
      </c>
      <c r="B598" s="1" t="inlineStr">
        <is>
          <t>纽约</t>
        </is>
      </c>
      <c r="C598" s="1" t="inlineStr">
        <is>
          <t>Y-纽约快速达</t>
        </is>
      </c>
      <c r="D598" s="1" t="inlineStr">
        <is>
          <t>义乌</t>
        </is>
      </c>
      <c r="E598" s="1" t="inlineStr">
        <is>
          <t>BDL6</t>
        </is>
      </c>
      <c r="F598" s="134" t="n">
        <v>14.58</v>
      </c>
      <c r="G598" s="1" t="inlineStr">
        <is>
          <t>RMB/KG</t>
        </is>
      </c>
      <c r="H598" s="134" t="n">
        <v>0</v>
      </c>
      <c r="I598" s="1" t="inlineStr">
        <is>
          <t>2026-10-26</t>
        </is>
      </c>
      <c r="J598" s="1" t="inlineStr">
        <is>
          <t>凯琦FBA报价_当期.xlsx</t>
        </is>
      </c>
    </row>
    <row r="599">
      <c r="A599" s="1" t="inlineStr">
        <is>
          <t>纽约</t>
        </is>
      </c>
      <c r="B599" s="1" t="inlineStr">
        <is>
          <t>纽约</t>
        </is>
      </c>
      <c r="C599" s="1" t="inlineStr">
        <is>
          <t>Y-纽约快速达</t>
        </is>
      </c>
      <c r="D599" s="1" t="inlineStr">
        <is>
          <t>义乌</t>
        </is>
      </c>
      <c r="E599" s="1" t="inlineStr">
        <is>
          <t>CHO1</t>
        </is>
      </c>
      <c r="F599" s="134" t="n">
        <v>14.58</v>
      </c>
      <c r="G599" s="1" t="inlineStr">
        <is>
          <t>RMB/KG</t>
        </is>
      </c>
      <c r="H599" s="134" t="n">
        <v>0</v>
      </c>
      <c r="I599" s="1" t="inlineStr">
        <is>
          <t>2026-10-26</t>
        </is>
      </c>
      <c r="J599" s="1" t="inlineStr">
        <is>
          <t>凯琦FBA报价_当期.xlsx</t>
        </is>
      </c>
    </row>
    <row r="600">
      <c r="A600" s="1" t="inlineStr">
        <is>
          <t>纽约</t>
        </is>
      </c>
      <c r="B600" s="1" t="inlineStr">
        <is>
          <t>纽约</t>
        </is>
      </c>
      <c r="C600" s="1" t="inlineStr">
        <is>
          <t>Y-纽约快速达</t>
        </is>
      </c>
      <c r="D600" s="1" t="inlineStr">
        <is>
          <t>义乌</t>
        </is>
      </c>
      <c r="E600" s="1" t="inlineStr">
        <is>
          <t>XRI3</t>
        </is>
      </c>
      <c r="F600" s="134" t="n">
        <v>14.58</v>
      </c>
      <c r="G600" s="1" t="inlineStr">
        <is>
          <t>RMB/KG</t>
        </is>
      </c>
      <c r="H600" s="134" t="n">
        <v>0</v>
      </c>
      <c r="I600" s="1" t="inlineStr">
        <is>
          <t>2026-10-26</t>
        </is>
      </c>
      <c r="J600" s="1" t="inlineStr">
        <is>
          <t>凯琦FBA报价_当期.xlsx</t>
        </is>
      </c>
    </row>
    <row r="601">
      <c r="A601" s="1" t="inlineStr">
        <is>
          <t>纽约</t>
        </is>
      </c>
      <c r="B601" s="1" t="inlineStr">
        <is>
          <t>纽约</t>
        </is>
      </c>
      <c r="C601" s="1" t="inlineStr">
        <is>
          <t>Y-纽约快速达</t>
        </is>
      </c>
      <c r="D601" s="1" t="inlineStr">
        <is>
          <t>义乌</t>
        </is>
      </c>
      <c r="E601" s="1" t="inlineStr">
        <is>
          <t>ORF2</t>
        </is>
      </c>
      <c r="F601" s="134" t="n">
        <v>14.58</v>
      </c>
      <c r="G601" s="1" t="inlineStr">
        <is>
          <t>RMB/KG</t>
        </is>
      </c>
      <c r="H601" s="134" t="n">
        <v>0</v>
      </c>
      <c r="I601" s="1" t="inlineStr">
        <is>
          <t>2026-10-26</t>
        </is>
      </c>
      <c r="J601" s="1" t="inlineStr">
        <is>
          <t>凯琦FBA报价_当期.xlsx</t>
        </is>
      </c>
    </row>
    <row r="602">
      <c r="A602" s="1" t="inlineStr">
        <is>
          <t>纽约</t>
        </is>
      </c>
      <c r="B602" s="1" t="inlineStr">
        <is>
          <t>纽约</t>
        </is>
      </c>
      <c r="C602" s="1" t="inlineStr">
        <is>
          <t>Y-纽约快速达</t>
        </is>
      </c>
      <c r="D602" s="1" t="inlineStr">
        <is>
          <t>义乌</t>
        </is>
      </c>
      <c r="E602" s="1" t="inlineStr">
        <is>
          <t>RMN3</t>
        </is>
      </c>
      <c r="F602" s="134" t="n">
        <v>14.58</v>
      </c>
      <c r="G602" s="1" t="inlineStr">
        <is>
          <t>RMB/KG</t>
        </is>
      </c>
      <c r="H602" s="134" t="n">
        <v>0</v>
      </c>
      <c r="I602" s="1" t="inlineStr">
        <is>
          <t>2026-10-26</t>
        </is>
      </c>
      <c r="J602" s="1" t="inlineStr">
        <is>
          <t>凯琦FBA报价_当期.xlsx</t>
        </is>
      </c>
    </row>
    <row r="603">
      <c r="A603" s="1" t="inlineStr">
        <is>
          <t>纽约</t>
        </is>
      </c>
      <c r="B603" s="1" t="inlineStr">
        <is>
          <t>纽约</t>
        </is>
      </c>
      <c r="C603" s="1" t="inlineStr">
        <is>
          <t>Y-纽约快速达</t>
        </is>
      </c>
      <c r="D603" s="1" t="inlineStr">
        <is>
          <t>义乌</t>
        </is>
      </c>
      <c r="E603" s="1" t="inlineStr">
        <is>
          <t>CLT2</t>
        </is>
      </c>
      <c r="F603" s="134" t="n">
        <v>15.18</v>
      </c>
      <c r="G603" s="1" t="inlineStr">
        <is>
          <t>RMB/KG</t>
        </is>
      </c>
      <c r="H603" s="134" t="n">
        <v>0</v>
      </c>
      <c r="I603" s="1" t="inlineStr">
        <is>
          <t>2026-10-26</t>
        </is>
      </c>
      <c r="J603" s="1" t="inlineStr">
        <is>
          <t>凯琦FBA报价_当期.xlsx</t>
        </is>
      </c>
    </row>
    <row r="604">
      <c r="A604" s="1" t="inlineStr">
        <is>
          <t>纽约</t>
        </is>
      </c>
      <c r="B604" s="1" t="inlineStr">
        <is>
          <t>纽约</t>
        </is>
      </c>
      <c r="C604" s="1" t="inlineStr">
        <is>
          <t>Y-纽约快速达</t>
        </is>
      </c>
      <c r="D604" s="1" t="inlineStr">
        <is>
          <t>义乌</t>
        </is>
      </c>
      <c r="E604" s="1" t="inlineStr">
        <is>
          <t>GSO1</t>
        </is>
      </c>
      <c r="F604" s="134" t="n">
        <v>14.78</v>
      </c>
      <c r="G604" s="1" t="inlineStr">
        <is>
          <t>RMB/KG</t>
        </is>
      </c>
      <c r="H604" s="134" t="n">
        <v>0</v>
      </c>
      <c r="I604" s="1" t="inlineStr">
        <is>
          <t>2026-10-26</t>
        </is>
      </c>
      <c r="J604" s="1" t="inlineStr">
        <is>
          <t>凯琦FBA报价_当期.xlsx</t>
        </is>
      </c>
    </row>
    <row r="605">
      <c r="A605" s="1" t="inlineStr">
        <is>
          <t>纽约</t>
        </is>
      </c>
      <c r="B605" s="1" t="inlineStr">
        <is>
          <t>纽约</t>
        </is>
      </c>
      <c r="C605" s="1" t="inlineStr">
        <is>
          <t>Y-纽约快速达</t>
        </is>
      </c>
      <c r="D605" s="1" t="inlineStr">
        <is>
          <t>义乌</t>
        </is>
      </c>
      <c r="E605" s="1" t="inlineStr">
        <is>
          <t>AKR1</t>
        </is>
      </c>
      <c r="F605" s="134" t="n">
        <v>14.78</v>
      </c>
      <c r="G605" s="1" t="inlineStr">
        <is>
          <t>RMB/KG</t>
        </is>
      </c>
      <c r="H605" s="134" t="n">
        <v>0</v>
      </c>
      <c r="I605" s="1" t="inlineStr">
        <is>
          <t>2026-10-26</t>
        </is>
      </c>
      <c r="J605" s="1" t="inlineStr">
        <is>
          <t>凯琦FBA报价_当期.xlsx</t>
        </is>
      </c>
    </row>
    <row r="606">
      <c r="A606" s="1" t="inlineStr">
        <is>
          <t>纽约</t>
        </is>
      </c>
      <c r="B606" s="1" t="inlineStr">
        <is>
          <t>纽约</t>
        </is>
      </c>
      <c r="C606" s="1" t="inlineStr">
        <is>
          <t>Y-纽约快速达</t>
        </is>
      </c>
      <c r="D606" s="1" t="inlineStr">
        <is>
          <t>义乌</t>
        </is>
      </c>
      <c r="E606" s="1" t="inlineStr">
        <is>
          <t>XLX6</t>
        </is>
      </c>
      <c r="F606" s="134" t="n">
        <v>14.78</v>
      </c>
      <c r="G606" s="1" t="inlineStr">
        <is>
          <t>RMB/KG</t>
        </is>
      </c>
      <c r="H606" s="134" t="n">
        <v>0</v>
      </c>
      <c r="I606" s="1" t="inlineStr">
        <is>
          <t>2026-10-26</t>
        </is>
      </c>
      <c r="J606" s="1" t="inlineStr">
        <is>
          <t>凯琦FBA报价_当期.xlsx</t>
        </is>
      </c>
    </row>
    <row r="607">
      <c r="A607" s="1" t="inlineStr">
        <is>
          <t>纽约</t>
        </is>
      </c>
      <c r="B607" s="1" t="inlineStr">
        <is>
          <t>纽约</t>
        </is>
      </c>
      <c r="C607" s="1" t="inlineStr">
        <is>
          <t>Y-纽约快速达</t>
        </is>
      </c>
      <c r="D607" s="1" t="inlineStr">
        <is>
          <t>义乌</t>
        </is>
      </c>
      <c r="E607" s="1" t="inlineStr">
        <is>
          <t>RDU2</t>
        </is>
      </c>
      <c r="F607" s="134" t="n">
        <v>14.78</v>
      </c>
      <c r="G607" s="1" t="inlineStr">
        <is>
          <t>RMB/KG</t>
        </is>
      </c>
      <c r="H607" s="134" t="n">
        <v>0</v>
      </c>
      <c r="I607" s="1" t="inlineStr">
        <is>
          <t>2026-10-26</t>
        </is>
      </c>
      <c r="J607" s="1" t="inlineStr">
        <is>
          <t>凯琦FBA报价_当期.xlsx</t>
        </is>
      </c>
    </row>
    <row r="608">
      <c r="A608" s="1" t="inlineStr">
        <is>
          <t>纽约</t>
        </is>
      </c>
      <c r="B608" s="1" t="inlineStr">
        <is>
          <t>纽约</t>
        </is>
      </c>
      <c r="C608" s="1" t="inlineStr">
        <is>
          <t>Y-纽约快速达</t>
        </is>
      </c>
      <c r="D608" s="1" t="inlineStr">
        <is>
          <t>义乌</t>
        </is>
      </c>
      <c r="E608" s="1" t="inlineStr">
        <is>
          <t>HGR2</t>
        </is>
      </c>
      <c r="F608" s="134" t="n">
        <v>14.58</v>
      </c>
      <c r="G608" s="1" t="inlineStr">
        <is>
          <t>RMB/KG</t>
        </is>
      </c>
      <c r="H608" s="134" t="n">
        <v>0</v>
      </c>
      <c r="I608" s="1" t="inlineStr">
        <is>
          <t>2026-10-26</t>
        </is>
      </c>
      <c r="J608" s="1" t="inlineStr">
        <is>
          <t>凯琦FBA报价_当期.xlsx</t>
        </is>
      </c>
    </row>
    <row r="609">
      <c r="A609" s="1" t="inlineStr">
        <is>
          <t>纽约</t>
        </is>
      </c>
      <c r="B609" s="1" t="inlineStr">
        <is>
          <t>纽约</t>
        </is>
      </c>
      <c r="C609" s="1" t="inlineStr">
        <is>
          <t>Y-纽约快速达</t>
        </is>
      </c>
      <c r="D609" s="1" t="inlineStr">
        <is>
          <t>义乌</t>
        </is>
      </c>
      <c r="E609" s="1" t="inlineStr">
        <is>
          <t>IUST</t>
        </is>
      </c>
      <c r="F609" s="134" t="n">
        <v>14.78</v>
      </c>
      <c r="G609" s="1" t="inlineStr">
        <is>
          <t>RMB/KG</t>
        </is>
      </c>
      <c r="H609" s="134" t="n">
        <v>0</v>
      </c>
      <c r="I609" s="1" t="inlineStr">
        <is>
          <t>2026-10-26</t>
        </is>
      </c>
      <c r="J609" s="1" t="inlineStr">
        <is>
          <t>凯琦FBA报价_当期.xlsx</t>
        </is>
      </c>
    </row>
    <row r="610">
      <c r="A610" s="1" t="inlineStr">
        <is>
          <t>纽约</t>
        </is>
      </c>
      <c r="B610" s="1" t="inlineStr">
        <is>
          <t>纽约</t>
        </is>
      </c>
      <c r="C610" s="1" t="inlineStr">
        <is>
          <t>Y-纽约快速达</t>
        </is>
      </c>
      <c r="D610" s="1" t="inlineStr">
        <is>
          <t>义乌</t>
        </is>
      </c>
      <c r="E610" s="1" t="inlineStr">
        <is>
          <t>IUSR</t>
        </is>
      </c>
      <c r="F610" s="134" t="n">
        <v>15.18</v>
      </c>
      <c r="G610" s="1" t="inlineStr">
        <is>
          <t>RMB/KG</t>
        </is>
      </c>
      <c r="H610" s="134" t="n">
        <v>0</v>
      </c>
      <c r="I610" s="1" t="inlineStr">
        <is>
          <t>2026-10-26</t>
        </is>
      </c>
      <c r="J610" s="1" t="inlineStr">
        <is>
          <t>凯琦FBA报价_当期.xlsx</t>
        </is>
      </c>
    </row>
    <row r="611">
      <c r="A611" s="1" t="inlineStr">
        <is>
          <t>纽约</t>
        </is>
      </c>
      <c r="B611" s="1" t="inlineStr">
        <is>
          <t>纽约</t>
        </is>
      </c>
      <c r="C611" s="1" t="inlineStr">
        <is>
          <t>Y-纽约快速达</t>
        </is>
      </c>
      <c r="D611" s="1" t="inlineStr">
        <is>
          <t>义乌</t>
        </is>
      </c>
      <c r="E611" s="1" t="inlineStr">
        <is>
          <t>BNA2</t>
        </is>
      </c>
      <c r="F611" s="134" t="n">
        <v>15.68</v>
      </c>
      <c r="G611" s="1" t="inlineStr">
        <is>
          <t>RMB/KG</t>
        </is>
      </c>
      <c r="H611" s="134" t="n">
        <v>0</v>
      </c>
      <c r="I611" s="1" t="inlineStr">
        <is>
          <t>2026-10-26</t>
        </is>
      </c>
      <c r="J611" s="1" t="inlineStr">
        <is>
          <t>凯琦FBA报价_当期.xlsx</t>
        </is>
      </c>
    </row>
    <row r="612">
      <c r="A612" s="1" t="inlineStr">
        <is>
          <t>纽约</t>
        </is>
      </c>
      <c r="B612" s="1" t="inlineStr">
        <is>
          <t>纽约</t>
        </is>
      </c>
      <c r="C612" s="1" t="inlineStr">
        <is>
          <t>Y-纽约快速达</t>
        </is>
      </c>
      <c r="D612" s="1" t="inlineStr">
        <is>
          <t>义乌</t>
        </is>
      </c>
      <c r="E612" s="1" t="inlineStr">
        <is>
          <t>CHA2</t>
        </is>
      </c>
      <c r="F612" s="134" t="n">
        <v>15.68</v>
      </c>
      <c r="G612" s="1" t="inlineStr">
        <is>
          <t>RMB/KG</t>
        </is>
      </c>
      <c r="H612" s="134" t="n">
        <v>0</v>
      </c>
      <c r="I612" s="1" t="inlineStr">
        <is>
          <t>2026-10-26</t>
        </is>
      </c>
      <c r="J612" s="1" t="inlineStr">
        <is>
          <t>凯琦FBA报价_当期.xlsx</t>
        </is>
      </c>
    </row>
    <row r="613">
      <c r="A613" s="1" t="inlineStr">
        <is>
          <t>纽约</t>
        </is>
      </c>
      <c r="B613" s="1" t="inlineStr">
        <is>
          <t>纽约</t>
        </is>
      </c>
      <c r="C613" s="1" t="inlineStr">
        <is>
          <t>Y-纽约快速达</t>
        </is>
      </c>
      <c r="D613" s="1" t="inlineStr">
        <is>
          <t>义乌</t>
        </is>
      </c>
      <c r="E613" s="1" t="inlineStr">
        <is>
          <t>BNA6</t>
        </is>
      </c>
      <c r="F613" s="134" t="n">
        <v>15.68</v>
      </c>
      <c r="G613" s="1" t="inlineStr">
        <is>
          <t>RMB/KG</t>
        </is>
      </c>
      <c r="H613" s="134" t="n">
        <v>0</v>
      </c>
      <c r="I613" s="1" t="inlineStr">
        <is>
          <t>2026-10-26</t>
        </is>
      </c>
      <c r="J613" s="1" t="inlineStr">
        <is>
          <t>凯琦FBA报价_当期.xlsx</t>
        </is>
      </c>
    </row>
    <row r="614">
      <c r="A614" s="1" t="inlineStr">
        <is>
          <t>纽约</t>
        </is>
      </c>
      <c r="B614" s="1" t="inlineStr">
        <is>
          <t>纽约</t>
        </is>
      </c>
      <c r="C614" s="1" t="inlineStr">
        <is>
          <t>Y-纽约快速达</t>
        </is>
      </c>
      <c r="D614" s="1" t="inlineStr">
        <is>
          <t>义乌</t>
        </is>
      </c>
      <c r="E614" s="1" t="inlineStr">
        <is>
          <t>MGE1</t>
        </is>
      </c>
      <c r="F614" s="134" t="n">
        <v>15.68</v>
      </c>
      <c r="G614" s="1" t="inlineStr">
        <is>
          <t>RMB/KG</t>
        </is>
      </c>
      <c r="H614" s="134" t="n">
        <v>0</v>
      </c>
      <c r="I614" s="1" t="inlineStr">
        <is>
          <t>2026-10-26</t>
        </is>
      </c>
      <c r="J614" s="1" t="inlineStr">
        <is>
          <t>凯琦FBA报价_当期.xlsx</t>
        </is>
      </c>
    </row>
    <row r="615">
      <c r="A615" s="1" t="inlineStr">
        <is>
          <t>纽约</t>
        </is>
      </c>
      <c r="B615" s="1" t="inlineStr">
        <is>
          <t>纽约</t>
        </is>
      </c>
      <c r="C615" s="1" t="inlineStr">
        <is>
          <t>Y-纽约快速达</t>
        </is>
      </c>
      <c r="D615" s="1" t="inlineStr">
        <is>
          <t>义乌</t>
        </is>
      </c>
      <c r="E615" s="1" t="inlineStr">
        <is>
          <t>HSV1</t>
        </is>
      </c>
      <c r="F615" s="134" t="n">
        <v>15.68</v>
      </c>
      <c r="G615" s="1" t="inlineStr">
        <is>
          <t>RMB/KG</t>
        </is>
      </c>
      <c r="H615" s="134" t="n">
        <v>0</v>
      </c>
      <c r="I615" s="1" t="inlineStr">
        <is>
          <t>2026-10-26</t>
        </is>
      </c>
      <c r="J615" s="1" t="inlineStr">
        <is>
          <t>凯琦FBA报价_当期.xlsx</t>
        </is>
      </c>
    </row>
    <row r="616">
      <c r="A616" s="1" t="inlineStr">
        <is>
          <t>纽约</t>
        </is>
      </c>
      <c r="B616" s="1" t="inlineStr">
        <is>
          <t>纽约</t>
        </is>
      </c>
      <c r="C616" s="1" t="inlineStr">
        <is>
          <t>Y-纽约快速达</t>
        </is>
      </c>
      <c r="D616" s="1" t="inlineStr">
        <is>
          <t>义乌</t>
        </is>
      </c>
      <c r="E616" s="1" t="inlineStr">
        <is>
          <t>CMH3</t>
        </is>
      </c>
      <c r="F616" s="134" t="n">
        <v>14.98</v>
      </c>
      <c r="G616" s="1" t="inlineStr">
        <is>
          <t>RMB/KG</t>
        </is>
      </c>
      <c r="H616" s="134" t="n">
        <v>0</v>
      </c>
      <c r="I616" s="1" t="inlineStr">
        <is>
          <t>2026-10-26</t>
        </is>
      </c>
      <c r="J616" s="1" t="inlineStr">
        <is>
          <t>凯琦FBA报价_当期.xlsx</t>
        </is>
      </c>
    </row>
    <row r="617">
      <c r="A617" s="1" t="inlineStr">
        <is>
          <t>纽约</t>
        </is>
      </c>
      <c r="B617" s="1" t="inlineStr">
        <is>
          <t>纽约</t>
        </is>
      </c>
      <c r="C617" s="1" t="inlineStr">
        <is>
          <t>Y-纽约快速达</t>
        </is>
      </c>
      <c r="D617" s="1" t="inlineStr">
        <is>
          <t>义乌</t>
        </is>
      </c>
      <c r="E617" s="1" t="inlineStr">
        <is>
          <t>CMH2</t>
        </is>
      </c>
      <c r="F617" s="134" t="n">
        <v>14.98</v>
      </c>
      <c r="G617" s="1" t="inlineStr">
        <is>
          <t>RMB/KG</t>
        </is>
      </c>
      <c r="H617" s="134" t="n">
        <v>0</v>
      </c>
      <c r="I617" s="1" t="inlineStr">
        <is>
          <t>2026-10-26</t>
        </is>
      </c>
      <c r="J617" s="1" t="inlineStr">
        <is>
          <t>凯琦FBA报价_当期.xlsx</t>
        </is>
      </c>
    </row>
    <row r="618">
      <c r="A618" s="1" t="inlineStr">
        <is>
          <t>纽约</t>
        </is>
      </c>
      <c r="B618" s="1" t="inlineStr">
        <is>
          <t>纽约</t>
        </is>
      </c>
      <c r="C618" s="1" t="inlineStr">
        <is>
          <t>Y-纽约快速达</t>
        </is>
      </c>
      <c r="D618" s="1" t="inlineStr">
        <is>
          <t>义乌</t>
        </is>
      </c>
      <c r="E618" s="1" t="inlineStr">
        <is>
          <t>CLT6</t>
        </is>
      </c>
      <c r="F618" s="134" t="n">
        <v>14.98</v>
      </c>
      <c r="G618" s="1" t="inlineStr">
        <is>
          <t>RMB/KG</t>
        </is>
      </c>
      <c r="H618" s="134" t="n">
        <v>0</v>
      </c>
      <c r="I618" s="1" t="inlineStr">
        <is>
          <t>2026-10-26</t>
        </is>
      </c>
      <c r="J618" s="1" t="inlineStr">
        <is>
          <t>凯琦FBA报价_当期.xlsx</t>
        </is>
      </c>
    </row>
    <row r="619">
      <c r="A619" s="1" t="inlineStr">
        <is>
          <t>纽约</t>
        </is>
      </c>
      <c r="B619" s="1" t="inlineStr">
        <is>
          <t>纽约</t>
        </is>
      </c>
      <c r="C619" s="1" t="inlineStr">
        <is>
          <t>Y-纽约快速达</t>
        </is>
      </c>
      <c r="D619" s="1" t="inlineStr">
        <is>
          <t>义乌</t>
        </is>
      </c>
      <c r="E619" s="1" t="inlineStr">
        <is>
          <t>RYY2</t>
        </is>
      </c>
      <c r="F619" s="134" t="n">
        <v>15.68</v>
      </c>
      <c r="G619" s="1" t="inlineStr">
        <is>
          <t>RMB/KG</t>
        </is>
      </c>
      <c r="H619" s="134" t="n">
        <v>0</v>
      </c>
      <c r="I619" s="1" t="inlineStr">
        <is>
          <t>2026-10-26</t>
        </is>
      </c>
      <c r="J619" s="1" t="inlineStr">
        <is>
          <t>凯琦FBA报价_当期.xlsx</t>
        </is>
      </c>
    </row>
    <row r="620">
      <c r="A620" s="1" t="inlineStr">
        <is>
          <t>纽约</t>
        </is>
      </c>
      <c r="B620" s="1" t="inlineStr">
        <is>
          <t>纽约</t>
        </is>
      </c>
      <c r="C620" s="1" t="inlineStr">
        <is>
          <t>Y-纽约快速达</t>
        </is>
      </c>
      <c r="D620" s="1" t="inlineStr">
        <is>
          <t>义乌</t>
        </is>
      </c>
      <c r="E620" s="1" t="inlineStr">
        <is>
          <t>MGE3</t>
        </is>
      </c>
      <c r="F620" s="134" t="n">
        <v>15.68</v>
      </c>
      <c r="G620" s="1" t="inlineStr">
        <is>
          <t>RMB/KG</t>
        </is>
      </c>
      <c r="H620" s="134" t="n">
        <v>0</v>
      </c>
      <c r="I620" s="1" t="inlineStr">
        <is>
          <t>2026-10-26</t>
        </is>
      </c>
      <c r="J620" s="1" t="inlineStr">
        <is>
          <t>凯琦FBA报价_当期.xlsx</t>
        </is>
      </c>
    </row>
    <row r="621">
      <c r="A621" s="1" t="inlineStr">
        <is>
          <t>纽约</t>
        </is>
      </c>
      <c r="B621" s="1" t="inlineStr">
        <is>
          <t>纽约</t>
        </is>
      </c>
      <c r="C621" s="1" t="inlineStr">
        <is>
          <t>Y-纽约快速达</t>
        </is>
      </c>
      <c r="D621" s="1" t="inlineStr">
        <is>
          <t>义乌</t>
        </is>
      </c>
      <c r="E621" s="1" t="inlineStr">
        <is>
          <t>MCO2</t>
        </is>
      </c>
      <c r="F621" s="134" t="n">
        <v>16.68</v>
      </c>
      <c r="G621" s="1" t="inlineStr">
        <is>
          <t>RMB/KG</t>
        </is>
      </c>
      <c r="H621" s="134" t="n">
        <v>0</v>
      </c>
      <c r="I621" s="1" t="inlineStr">
        <is>
          <t>2026-10-26</t>
        </is>
      </c>
      <c r="J621" s="1" t="inlineStr">
        <is>
          <t>凯琦FBA报价_当期.xlsx</t>
        </is>
      </c>
    </row>
    <row r="622">
      <c r="A622" s="1" t="inlineStr">
        <is>
          <t>纽约</t>
        </is>
      </c>
      <c r="B622" s="1" t="inlineStr">
        <is>
          <t>纽约</t>
        </is>
      </c>
      <c r="C622" s="1" t="inlineStr">
        <is>
          <t>Y-纽约快速达</t>
        </is>
      </c>
      <c r="D622" s="1" t="inlineStr">
        <is>
          <t>义乌</t>
        </is>
      </c>
      <c r="E622" s="1" t="inlineStr">
        <is>
          <t>TPA2</t>
        </is>
      </c>
      <c r="F622" s="134" t="n">
        <v>16.68</v>
      </c>
      <c r="G622" s="1" t="inlineStr">
        <is>
          <t>RMB/KG</t>
        </is>
      </c>
      <c r="H622" s="134" t="n">
        <v>0</v>
      </c>
      <c r="I622" s="1" t="inlineStr">
        <is>
          <t>2026-10-26</t>
        </is>
      </c>
      <c r="J622" s="1" t="inlineStr">
        <is>
          <t>凯琦FBA报价_当期.xlsx</t>
        </is>
      </c>
    </row>
    <row r="623">
      <c r="A623" s="1" t="inlineStr">
        <is>
          <t>纽约</t>
        </is>
      </c>
      <c r="B623" s="1" t="inlineStr">
        <is>
          <t>纽约</t>
        </is>
      </c>
      <c r="C623" s="1" t="inlineStr">
        <is>
          <t>Y-纽约快速达</t>
        </is>
      </c>
      <c r="D623" s="1" t="inlineStr">
        <is>
          <t>义乌</t>
        </is>
      </c>
      <c r="E623" s="1" t="inlineStr">
        <is>
          <t>TPA3</t>
        </is>
      </c>
      <c r="F623" s="134" t="n">
        <v>16.68</v>
      </c>
      <c r="G623" s="1" t="inlineStr">
        <is>
          <t>RMB/KG</t>
        </is>
      </c>
      <c r="H623" s="134" t="n">
        <v>0</v>
      </c>
      <c r="I623" s="1" t="inlineStr">
        <is>
          <t>2026-10-26</t>
        </is>
      </c>
      <c r="J623" s="1" t="inlineStr">
        <is>
          <t>凯琦FBA报价_当期.xlsx</t>
        </is>
      </c>
    </row>
    <row r="624">
      <c r="A624" s="1" t="inlineStr">
        <is>
          <t>纽约</t>
        </is>
      </c>
      <c r="B624" s="1" t="inlineStr">
        <is>
          <t>纽约</t>
        </is>
      </c>
      <c r="C624" s="1" t="inlineStr">
        <is>
          <t>Y-A4NY</t>
        </is>
      </c>
      <c r="D624" s="1" t="inlineStr">
        <is>
          <t>义乌</t>
        </is>
      </c>
      <c r="E624" s="1" t="inlineStr">
        <is>
          <t>TEB3</t>
        </is>
      </c>
      <c r="F624" s="134" t="n">
        <v>9.380000000000001</v>
      </c>
      <c r="G624" s="1" t="inlineStr">
        <is>
          <t>RMB/KG</t>
        </is>
      </c>
      <c r="H624" s="134" t="n">
        <v>0</v>
      </c>
      <c r="I624" s="1" t="inlineStr">
        <is>
          <t>2026-10-26</t>
        </is>
      </c>
      <c r="J624" s="1" t="inlineStr">
        <is>
          <t>凯琦FBA报价_当期.xlsx</t>
        </is>
      </c>
    </row>
    <row r="625">
      <c r="A625" s="1" t="inlineStr">
        <is>
          <t>纽约</t>
        </is>
      </c>
      <c r="B625" s="1" t="inlineStr">
        <is>
          <t>纽约</t>
        </is>
      </c>
      <c r="C625" s="1" t="inlineStr">
        <is>
          <t>Y-A4NY</t>
        </is>
      </c>
      <c r="D625" s="1" t="inlineStr">
        <is>
          <t>义乌</t>
        </is>
      </c>
      <c r="E625" s="1" t="inlineStr">
        <is>
          <t>TEB4</t>
        </is>
      </c>
      <c r="F625" s="134" t="n">
        <v>9.380000000000001</v>
      </c>
      <c r="G625" s="1" t="inlineStr">
        <is>
          <t>RMB/KG</t>
        </is>
      </c>
      <c r="H625" s="134" t="n">
        <v>0</v>
      </c>
      <c r="I625" s="1" t="inlineStr">
        <is>
          <t>2026-10-26</t>
        </is>
      </c>
      <c r="J625" s="1" t="inlineStr">
        <is>
          <t>凯琦FBA报价_当期.xlsx</t>
        </is>
      </c>
    </row>
    <row r="626">
      <c r="A626" s="1" t="inlineStr">
        <is>
          <t>纽约</t>
        </is>
      </c>
      <c r="B626" s="1" t="inlineStr">
        <is>
          <t>纽约</t>
        </is>
      </c>
      <c r="C626" s="1" t="inlineStr">
        <is>
          <t>Y-A4NY</t>
        </is>
      </c>
      <c r="D626" s="1" t="inlineStr">
        <is>
          <t>义乌</t>
        </is>
      </c>
      <c r="E626" s="1" t="inlineStr">
        <is>
          <t>TEB6</t>
        </is>
      </c>
      <c r="F626" s="134" t="n">
        <v>9.380000000000001</v>
      </c>
      <c r="G626" s="1" t="inlineStr">
        <is>
          <t>RMB/KG</t>
        </is>
      </c>
      <c r="H626" s="134" t="n">
        <v>0</v>
      </c>
      <c r="I626" s="1" t="inlineStr">
        <is>
          <t>2026-10-26</t>
        </is>
      </c>
      <c r="J626" s="1" t="inlineStr">
        <is>
          <t>凯琦FBA报价_当期.xlsx</t>
        </is>
      </c>
    </row>
    <row r="627">
      <c r="A627" s="1" t="inlineStr">
        <is>
          <t>纽约</t>
        </is>
      </c>
      <c r="B627" s="1" t="inlineStr">
        <is>
          <t>纽约</t>
        </is>
      </c>
      <c r="C627" s="1" t="inlineStr">
        <is>
          <t>Y-A4NY</t>
        </is>
      </c>
      <c r="D627" s="1" t="inlineStr">
        <is>
          <t>义乌</t>
        </is>
      </c>
      <c r="E627" s="1" t="inlineStr">
        <is>
          <t>TEB9</t>
        </is>
      </c>
      <c r="F627" s="134" t="n">
        <v>9.48</v>
      </c>
      <c r="G627" s="1" t="inlineStr">
        <is>
          <t>RMB/KG</t>
        </is>
      </c>
      <c r="H627" s="134" t="n">
        <v>0</v>
      </c>
      <c r="I627" s="1" t="inlineStr">
        <is>
          <t>2026-10-26</t>
        </is>
      </c>
      <c r="J627" s="1" t="inlineStr">
        <is>
          <t>凯琦FBA报价_当期.xlsx</t>
        </is>
      </c>
    </row>
    <row r="628">
      <c r="A628" s="1" t="inlineStr">
        <is>
          <t>纽约</t>
        </is>
      </c>
      <c r="B628" s="1" t="inlineStr">
        <is>
          <t>纽约</t>
        </is>
      </c>
      <c r="C628" s="1" t="inlineStr">
        <is>
          <t>Y-A4NY</t>
        </is>
      </c>
      <c r="D628" s="1" t="inlineStr">
        <is>
          <t>义乌</t>
        </is>
      </c>
      <c r="E628" s="1" t="inlineStr">
        <is>
          <t>ABE3</t>
        </is>
      </c>
      <c r="F628" s="134" t="n">
        <v>9.48</v>
      </c>
      <c r="G628" s="1" t="inlineStr">
        <is>
          <t>RMB/KG</t>
        </is>
      </c>
      <c r="H628" s="134" t="n">
        <v>0</v>
      </c>
      <c r="I628" s="1" t="inlineStr">
        <is>
          <t>2026-10-26</t>
        </is>
      </c>
      <c r="J628" s="1" t="inlineStr">
        <is>
          <t>凯琦FBA报价_当期.xlsx</t>
        </is>
      </c>
    </row>
    <row r="629">
      <c r="A629" s="1" t="inlineStr">
        <is>
          <t>纽约</t>
        </is>
      </c>
      <c r="B629" s="1" t="inlineStr">
        <is>
          <t>纽约</t>
        </is>
      </c>
      <c r="C629" s="1" t="inlineStr">
        <is>
          <t>Y-A4NY</t>
        </is>
      </c>
      <c r="D629" s="1" t="inlineStr">
        <is>
          <t>义乌</t>
        </is>
      </c>
      <c r="E629" s="1" t="inlineStr">
        <is>
          <t>ABE4</t>
        </is>
      </c>
      <c r="F629" s="134" t="n">
        <v>9.48</v>
      </c>
      <c r="G629" s="1" t="inlineStr">
        <is>
          <t>RMB/KG</t>
        </is>
      </c>
      <c r="H629" s="134" t="n">
        <v>0</v>
      </c>
      <c r="I629" s="1" t="inlineStr">
        <is>
          <t>2026-10-26</t>
        </is>
      </c>
      <c r="J629" s="1" t="inlineStr">
        <is>
          <t>凯琦FBA报价_当期.xlsx</t>
        </is>
      </c>
    </row>
    <row r="630">
      <c r="A630" s="1" t="inlineStr">
        <is>
          <t>纽约</t>
        </is>
      </c>
      <c r="B630" s="1" t="inlineStr">
        <is>
          <t>纽约</t>
        </is>
      </c>
      <c r="C630" s="1" t="inlineStr">
        <is>
          <t>Y-A4NY</t>
        </is>
      </c>
      <c r="D630" s="1" t="inlineStr">
        <is>
          <t>义乌</t>
        </is>
      </c>
      <c r="E630" s="1" t="inlineStr">
        <is>
          <t>ABE8</t>
        </is>
      </c>
      <c r="F630" s="134" t="n">
        <v>9.380000000000001</v>
      </c>
      <c r="G630" s="1" t="inlineStr">
        <is>
          <t>RMB/KG</t>
        </is>
      </c>
      <c r="H630" s="134" t="n">
        <v>0</v>
      </c>
      <c r="I630" s="1" t="inlineStr">
        <is>
          <t>2026-10-26</t>
        </is>
      </c>
      <c r="J630" s="1" t="inlineStr">
        <is>
          <t>凯琦FBA报价_当期.xlsx</t>
        </is>
      </c>
    </row>
    <row r="631">
      <c r="A631" s="1" t="inlineStr">
        <is>
          <t>纽约</t>
        </is>
      </c>
      <c r="B631" s="1" t="inlineStr">
        <is>
          <t>纽约</t>
        </is>
      </c>
      <c r="C631" s="1" t="inlineStr">
        <is>
          <t>Y-A4NY</t>
        </is>
      </c>
      <c r="D631" s="1" t="inlineStr">
        <is>
          <t>义乌</t>
        </is>
      </c>
      <c r="E631" s="1" t="inlineStr">
        <is>
          <t>ACY2</t>
        </is>
      </c>
      <c r="F631" s="134" t="n">
        <v>9.380000000000001</v>
      </c>
      <c r="G631" s="1" t="inlineStr">
        <is>
          <t>RMB/KG</t>
        </is>
      </c>
      <c r="H631" s="134" t="n">
        <v>0</v>
      </c>
      <c r="I631" s="1" t="inlineStr">
        <is>
          <t>2026-10-26</t>
        </is>
      </c>
      <c r="J631" s="1" t="inlineStr">
        <is>
          <t>凯琦FBA报价_当期.xlsx</t>
        </is>
      </c>
    </row>
    <row r="632">
      <c r="A632" s="1" t="inlineStr">
        <is>
          <t>纽约</t>
        </is>
      </c>
      <c r="B632" s="1" t="inlineStr">
        <is>
          <t>纽约</t>
        </is>
      </c>
      <c r="C632" s="1" t="inlineStr">
        <is>
          <t>Y-A4NY</t>
        </is>
      </c>
      <c r="D632" s="1" t="inlineStr">
        <is>
          <t>义乌</t>
        </is>
      </c>
      <c r="E632" s="1" t="inlineStr">
        <is>
          <t>ILG1</t>
        </is>
      </c>
      <c r="F632" s="134" t="n">
        <v>9.880000000000001</v>
      </c>
      <c r="G632" s="1" t="inlineStr">
        <is>
          <t>RMB/KG</t>
        </is>
      </c>
      <c r="H632" s="134" t="n">
        <v>0</v>
      </c>
      <c r="I632" s="1" t="inlineStr">
        <is>
          <t>2026-10-26</t>
        </is>
      </c>
      <c r="J632" s="1" t="inlineStr">
        <is>
          <t>凯琦FBA报价_当期.xlsx</t>
        </is>
      </c>
    </row>
    <row r="633">
      <c r="A633" s="1" t="inlineStr">
        <is>
          <t>纽约</t>
        </is>
      </c>
      <c r="B633" s="1" t="inlineStr">
        <is>
          <t>纽约</t>
        </is>
      </c>
      <c r="C633" s="1" t="inlineStr">
        <is>
          <t>Y-A4NY</t>
        </is>
      </c>
      <c r="D633" s="1" t="inlineStr">
        <is>
          <t>义乌</t>
        </is>
      </c>
      <c r="E633" s="1" t="inlineStr">
        <is>
          <t>HEA2</t>
        </is>
      </c>
      <c r="F633" s="134" t="n">
        <v>9.58</v>
      </c>
      <c r="G633" s="1" t="inlineStr">
        <is>
          <t>RMB/KG</t>
        </is>
      </c>
      <c r="H633" s="134" t="n">
        <v>0</v>
      </c>
      <c r="I633" s="1" t="inlineStr">
        <is>
          <t>2026-10-26</t>
        </is>
      </c>
      <c r="J633" s="1" t="inlineStr">
        <is>
          <t>凯琦FBA报价_当期.xlsx</t>
        </is>
      </c>
    </row>
    <row r="634">
      <c r="A634" s="1" t="inlineStr">
        <is>
          <t>纽约</t>
        </is>
      </c>
      <c r="B634" s="1" t="inlineStr">
        <is>
          <t>纽约</t>
        </is>
      </c>
      <c r="C634" s="1" t="inlineStr">
        <is>
          <t>Y-A4NY</t>
        </is>
      </c>
      <c r="D634" s="1" t="inlineStr">
        <is>
          <t>义乌</t>
        </is>
      </c>
      <c r="E634" s="1" t="inlineStr">
        <is>
          <t>IPA1</t>
        </is>
      </c>
      <c r="F634" s="134" t="n">
        <v>9.58</v>
      </c>
      <c r="G634" s="1" t="inlineStr">
        <is>
          <t>RMB/KG</t>
        </is>
      </c>
      <c r="H634" s="134" t="n">
        <v>0</v>
      </c>
      <c r="I634" s="1" t="inlineStr">
        <is>
          <t>2026-10-26</t>
        </is>
      </c>
      <c r="J634" s="1" t="inlineStr">
        <is>
          <t>凯琦FBA报价_当期.xlsx</t>
        </is>
      </c>
    </row>
    <row r="635">
      <c r="A635" s="1" t="inlineStr">
        <is>
          <t>纽约</t>
        </is>
      </c>
      <c r="B635" s="1" t="inlineStr">
        <is>
          <t>纽约</t>
        </is>
      </c>
      <c r="C635" s="1" t="inlineStr">
        <is>
          <t>Y-A4NY</t>
        </is>
      </c>
      <c r="D635" s="1" t="inlineStr">
        <is>
          <t>义乌</t>
        </is>
      </c>
      <c r="E635" s="1" t="inlineStr">
        <is>
          <t>AVP1</t>
        </is>
      </c>
      <c r="F635" s="134" t="n">
        <v>9.68</v>
      </c>
      <c r="G635" s="1" t="inlineStr">
        <is>
          <t>RMB/KG</t>
        </is>
      </c>
      <c r="H635" s="134" t="n">
        <v>0</v>
      </c>
      <c r="I635" s="1" t="inlineStr">
        <is>
          <t>2026-10-26</t>
        </is>
      </c>
      <c r="J635" s="1" t="inlineStr">
        <is>
          <t>凯琦FBA报价_当期.xlsx</t>
        </is>
      </c>
    </row>
    <row r="636">
      <c r="A636" s="1" t="inlineStr">
        <is>
          <t>纽约</t>
        </is>
      </c>
      <c r="B636" s="1" t="inlineStr">
        <is>
          <t>纽约</t>
        </is>
      </c>
      <c r="C636" s="1" t="inlineStr">
        <is>
          <t>Y-A4NY</t>
        </is>
      </c>
      <c r="D636" s="1" t="inlineStr">
        <is>
          <t>义乌</t>
        </is>
      </c>
      <c r="E636" s="1" t="inlineStr">
        <is>
          <t>AVP9</t>
        </is>
      </c>
      <c r="F636" s="134" t="n">
        <v>9.68</v>
      </c>
      <c r="G636" s="1" t="inlineStr">
        <is>
          <t>RMB/KG</t>
        </is>
      </c>
      <c r="H636" s="134" t="n">
        <v>0</v>
      </c>
      <c r="I636" s="1" t="inlineStr">
        <is>
          <t>2026-10-26</t>
        </is>
      </c>
      <c r="J636" s="1" t="inlineStr">
        <is>
          <t>凯琦FBA报价_当期.xlsx</t>
        </is>
      </c>
    </row>
    <row r="637">
      <c r="A637" s="1" t="inlineStr">
        <is>
          <t>纽约</t>
        </is>
      </c>
      <c r="B637" s="1" t="inlineStr">
        <is>
          <t>纽约</t>
        </is>
      </c>
      <c r="C637" s="1" t="inlineStr">
        <is>
          <t>Y-A4NY</t>
        </is>
      </c>
      <c r="D637" s="1" t="inlineStr">
        <is>
          <t>义乌</t>
        </is>
      </c>
      <c r="E637" s="1" t="inlineStr">
        <is>
          <t>XEW5</t>
        </is>
      </c>
      <c r="F637" s="134" t="n">
        <v>9.68</v>
      </c>
      <c r="G637" s="1" t="inlineStr">
        <is>
          <t>RMB/KG</t>
        </is>
      </c>
      <c r="H637" s="134" t="n">
        <v>0</v>
      </c>
      <c r="I637" s="1" t="inlineStr">
        <is>
          <t>2026-10-26</t>
        </is>
      </c>
      <c r="J637" s="1" t="inlineStr">
        <is>
          <t>凯琦FBA报价_当期.xlsx</t>
        </is>
      </c>
    </row>
    <row r="638">
      <c r="A638" s="1" t="inlineStr">
        <is>
          <t>纽约</t>
        </is>
      </c>
      <c r="B638" s="1" t="inlineStr">
        <is>
          <t>纽约</t>
        </is>
      </c>
      <c r="C638" s="1" t="inlineStr">
        <is>
          <t>Y-A4NY</t>
        </is>
      </c>
      <c r="D638" s="1" t="inlineStr">
        <is>
          <t>义乌</t>
        </is>
      </c>
      <c r="E638" s="1" t="inlineStr">
        <is>
          <t>SWF1</t>
        </is>
      </c>
      <c r="F638" s="134" t="n">
        <v>9.68</v>
      </c>
      <c r="G638" s="1" t="inlineStr">
        <is>
          <t>RMB/KG</t>
        </is>
      </c>
      <c r="H638" s="134" t="n">
        <v>0</v>
      </c>
      <c r="I638" s="1" t="inlineStr">
        <is>
          <t>2026-10-26</t>
        </is>
      </c>
      <c r="J638" s="1" t="inlineStr">
        <is>
          <t>凯琦FBA报价_当期.xlsx</t>
        </is>
      </c>
    </row>
    <row r="639">
      <c r="A639" s="1" t="inlineStr">
        <is>
          <t>纽约</t>
        </is>
      </c>
      <c r="B639" s="1" t="inlineStr">
        <is>
          <t>纽约</t>
        </is>
      </c>
      <c r="C639" s="1" t="inlineStr">
        <is>
          <t>Y-A4NY</t>
        </is>
      </c>
      <c r="D639" s="1" t="inlineStr">
        <is>
          <t>义乌</t>
        </is>
      </c>
      <c r="E639" s="1" t="inlineStr">
        <is>
          <t>SWF2</t>
        </is>
      </c>
      <c r="F639" s="134" t="n">
        <v>9.68</v>
      </c>
      <c r="G639" s="1" t="inlineStr">
        <is>
          <t>RMB/KG</t>
        </is>
      </c>
      <c r="H639" s="134" t="n">
        <v>0</v>
      </c>
      <c r="I639" s="1" t="inlineStr">
        <is>
          <t>2026-10-26</t>
        </is>
      </c>
      <c r="J639" s="1" t="inlineStr">
        <is>
          <t>凯琦FBA报价_当期.xlsx</t>
        </is>
      </c>
    </row>
    <row r="640">
      <c r="A640" s="1" t="inlineStr">
        <is>
          <t>纽约</t>
        </is>
      </c>
      <c r="B640" s="1" t="inlineStr">
        <is>
          <t>纽约</t>
        </is>
      </c>
      <c r="C640" s="1" t="inlineStr">
        <is>
          <t>Y-A4NY</t>
        </is>
      </c>
      <c r="D640" s="1" t="inlineStr">
        <is>
          <t>义乌</t>
        </is>
      </c>
      <c r="E640" s="1" t="inlineStr">
        <is>
          <t>MDT1</t>
        </is>
      </c>
      <c r="F640" s="134" t="n">
        <v>9.68</v>
      </c>
      <c r="G640" s="1" t="inlineStr">
        <is>
          <t>RMB/KG</t>
        </is>
      </c>
      <c r="H640" s="134" t="n">
        <v>0</v>
      </c>
      <c r="I640" s="1" t="inlineStr">
        <is>
          <t>2026-10-26</t>
        </is>
      </c>
      <c r="J640" s="1" t="inlineStr">
        <is>
          <t>凯琦FBA报价_当期.xlsx</t>
        </is>
      </c>
    </row>
    <row r="641">
      <c r="A641" s="1" t="inlineStr">
        <is>
          <t>纽约</t>
        </is>
      </c>
      <c r="B641" s="1" t="inlineStr">
        <is>
          <t>纽约</t>
        </is>
      </c>
      <c r="C641" s="1" t="inlineStr">
        <is>
          <t>Y-A4NY</t>
        </is>
      </c>
      <c r="D641" s="1" t="inlineStr">
        <is>
          <t>义乌</t>
        </is>
      </c>
      <c r="E641" s="1" t="inlineStr">
        <is>
          <t>MDT4</t>
        </is>
      </c>
      <c r="F641" s="134" t="n">
        <v>9.68</v>
      </c>
      <c r="G641" s="1" t="inlineStr">
        <is>
          <t>RMB/KG</t>
        </is>
      </c>
      <c r="H641" s="134" t="n">
        <v>0</v>
      </c>
      <c r="I641" s="1" t="inlineStr">
        <is>
          <t>2026-10-26</t>
        </is>
      </c>
      <c r="J641" s="1" t="inlineStr">
        <is>
          <t>凯琦FBA报价_当期.xlsx</t>
        </is>
      </c>
    </row>
    <row r="642">
      <c r="A642" s="1" t="inlineStr">
        <is>
          <t>纽约</t>
        </is>
      </c>
      <c r="B642" s="1" t="inlineStr">
        <is>
          <t>纽约</t>
        </is>
      </c>
      <c r="C642" s="1" t="inlineStr">
        <is>
          <t>Y-A4NY</t>
        </is>
      </c>
      <c r="D642" s="1" t="inlineStr">
        <is>
          <t>义乌</t>
        </is>
      </c>
      <c r="E642" s="1" t="inlineStr">
        <is>
          <t>DCA6</t>
        </is>
      </c>
      <c r="F642" s="134" t="n">
        <v>9.880000000000001</v>
      </c>
      <c r="G642" s="1" t="inlineStr">
        <is>
          <t>RMB/KG</t>
        </is>
      </c>
      <c r="H642" s="134" t="n">
        <v>0</v>
      </c>
      <c r="I642" s="1" t="inlineStr">
        <is>
          <t>2026-10-26</t>
        </is>
      </c>
      <c r="J642" s="1" t="inlineStr">
        <is>
          <t>凯琦FBA报价_当期.xlsx</t>
        </is>
      </c>
    </row>
    <row r="643">
      <c r="A643" s="1" t="inlineStr">
        <is>
          <t>纽约</t>
        </is>
      </c>
      <c r="B643" s="1" t="inlineStr">
        <is>
          <t>纽约</t>
        </is>
      </c>
      <c r="C643" s="1" t="inlineStr">
        <is>
          <t>Y-A4NY</t>
        </is>
      </c>
      <c r="D643" s="1" t="inlineStr">
        <is>
          <t>义乌</t>
        </is>
      </c>
      <c r="E643" s="1" t="inlineStr">
        <is>
          <t>TTN2</t>
        </is>
      </c>
      <c r="F643" s="134" t="n">
        <v>9.58</v>
      </c>
      <c r="G643" s="1" t="inlineStr">
        <is>
          <t>RMB/KG</t>
        </is>
      </c>
      <c r="H643" s="134" t="n">
        <v>0</v>
      </c>
      <c r="I643" s="1" t="inlineStr">
        <is>
          <t>2026-10-26</t>
        </is>
      </c>
      <c r="J643" s="1" t="inlineStr">
        <is>
          <t>凯琦FBA报价_当期.xlsx</t>
        </is>
      </c>
    </row>
    <row r="644">
      <c r="A644" s="1" t="inlineStr">
        <is>
          <t>纽约</t>
        </is>
      </c>
      <c r="B644" s="1" t="inlineStr">
        <is>
          <t>纽约</t>
        </is>
      </c>
      <c r="C644" s="1" t="inlineStr">
        <is>
          <t>Y-A4NY</t>
        </is>
      </c>
      <c r="D644" s="1" t="inlineStr">
        <is>
          <t>义乌</t>
        </is>
      </c>
      <c r="E644" s="1" t="inlineStr">
        <is>
          <t>HIA1</t>
        </is>
      </c>
      <c r="F644" s="134" t="n">
        <v>9.98</v>
      </c>
      <c r="G644" s="1" t="inlineStr">
        <is>
          <t>RMB/KG</t>
        </is>
      </c>
      <c r="H644" s="134" t="n">
        <v>0</v>
      </c>
      <c r="I644" s="1" t="inlineStr">
        <is>
          <t>2026-10-26</t>
        </is>
      </c>
      <c r="J644" s="1" t="inlineStr">
        <is>
          <t>凯琦FBA报价_当期.xlsx</t>
        </is>
      </c>
    </row>
    <row r="645">
      <c r="A645" s="1" t="inlineStr">
        <is>
          <t>纽约</t>
        </is>
      </c>
      <c r="B645" s="1" t="inlineStr">
        <is>
          <t>纽约</t>
        </is>
      </c>
      <c r="C645" s="1" t="inlineStr">
        <is>
          <t>Y-A4NY</t>
        </is>
      </c>
      <c r="D645" s="1" t="inlineStr">
        <is>
          <t>义乌</t>
        </is>
      </c>
      <c r="E645" s="1" t="inlineStr">
        <is>
          <t>LBE1</t>
        </is>
      </c>
      <c r="F645" s="134" t="n">
        <v>9.98</v>
      </c>
      <c r="G645" s="1" t="inlineStr">
        <is>
          <t>RMB/KG</t>
        </is>
      </c>
      <c r="H645" s="134" t="n">
        <v>0</v>
      </c>
      <c r="I645" s="1" t="inlineStr">
        <is>
          <t>2026-10-26</t>
        </is>
      </c>
      <c r="J645" s="1" t="inlineStr">
        <is>
          <t>凯琦FBA报价_当期.xlsx</t>
        </is>
      </c>
    </row>
    <row r="646">
      <c r="A646" s="1" t="inlineStr">
        <is>
          <t>纽约</t>
        </is>
      </c>
      <c r="B646" s="1" t="inlineStr">
        <is>
          <t>纽约</t>
        </is>
      </c>
      <c r="C646" s="1" t="inlineStr">
        <is>
          <t>Y-A4NY</t>
        </is>
      </c>
      <c r="D646" s="1" t="inlineStr">
        <is>
          <t>义乌</t>
        </is>
      </c>
      <c r="E646" s="1" t="inlineStr">
        <is>
          <t>ALB1</t>
        </is>
      </c>
      <c r="F646" s="134" t="n">
        <v>9.98</v>
      </c>
      <c r="G646" s="1" t="inlineStr">
        <is>
          <t>RMB/KG</t>
        </is>
      </c>
      <c r="H646" s="134" t="n">
        <v>0</v>
      </c>
      <c r="I646" s="1" t="inlineStr">
        <is>
          <t>2026-10-26</t>
        </is>
      </c>
      <c r="J646" s="1" t="inlineStr">
        <is>
          <t>凯琦FBA报价_当期.xlsx</t>
        </is>
      </c>
    </row>
    <row r="647">
      <c r="A647" s="1" t="inlineStr">
        <is>
          <t>纽约</t>
        </is>
      </c>
      <c r="B647" s="1" t="inlineStr">
        <is>
          <t>纽约</t>
        </is>
      </c>
      <c r="C647" s="1" t="inlineStr">
        <is>
          <t>Y-A4NY</t>
        </is>
      </c>
      <c r="D647" s="1" t="inlineStr">
        <is>
          <t>义乌</t>
        </is>
      </c>
      <c r="E647" s="1" t="inlineStr">
        <is>
          <t>PIT2</t>
        </is>
      </c>
      <c r="F647" s="134" t="n">
        <v>9.98</v>
      </c>
      <c r="G647" s="1" t="inlineStr">
        <is>
          <t>RMB/KG</t>
        </is>
      </c>
      <c r="H647" s="134" t="n">
        <v>0</v>
      </c>
      <c r="I647" s="1" t="inlineStr">
        <is>
          <t>2026-10-26</t>
        </is>
      </c>
      <c r="J647" s="1" t="inlineStr">
        <is>
          <t>凯琦FBA报价_当期.xlsx</t>
        </is>
      </c>
    </row>
    <row r="648">
      <c r="A648" s="1" t="inlineStr">
        <is>
          <t>纽约</t>
        </is>
      </c>
      <c r="B648" s="1" t="inlineStr">
        <is>
          <t>纽约</t>
        </is>
      </c>
      <c r="C648" s="1" t="inlineStr">
        <is>
          <t>Y-A4NY</t>
        </is>
      </c>
      <c r="D648" s="1" t="inlineStr">
        <is>
          <t>义乌</t>
        </is>
      </c>
      <c r="E648" s="1" t="inlineStr">
        <is>
          <t>XLX1</t>
        </is>
      </c>
      <c r="F648" s="134" t="n">
        <v>10.08</v>
      </c>
      <c r="G648" s="1" t="inlineStr">
        <is>
          <t>RMB/KG</t>
        </is>
      </c>
      <c r="H648" s="134" t="n">
        <v>0</v>
      </c>
      <c r="I648" s="1" t="inlineStr">
        <is>
          <t>2026-10-26</t>
        </is>
      </c>
      <c r="J648" s="1" t="inlineStr">
        <is>
          <t>凯琦FBA报价_当期.xlsx</t>
        </is>
      </c>
    </row>
    <row r="649">
      <c r="A649" s="1" t="inlineStr">
        <is>
          <t>纽约</t>
        </is>
      </c>
      <c r="B649" s="1" t="inlineStr">
        <is>
          <t>纽约</t>
        </is>
      </c>
      <c r="C649" s="1" t="inlineStr">
        <is>
          <t>Y-A4NY</t>
        </is>
      </c>
      <c r="D649" s="1" t="inlineStr">
        <is>
          <t>义乌</t>
        </is>
      </c>
      <c r="E649" s="1" t="inlineStr">
        <is>
          <t>HGR6</t>
        </is>
      </c>
      <c r="F649" s="134" t="n">
        <v>10.08</v>
      </c>
      <c r="G649" s="1" t="inlineStr">
        <is>
          <t>RMB/KG</t>
        </is>
      </c>
      <c r="H649" s="134" t="n">
        <v>0</v>
      </c>
      <c r="I649" s="1" t="inlineStr">
        <is>
          <t>2026-10-26</t>
        </is>
      </c>
      <c r="J649" s="1" t="inlineStr">
        <is>
          <t>凯琦FBA报价_当期.xlsx</t>
        </is>
      </c>
    </row>
    <row r="650">
      <c r="A650" s="1" t="inlineStr">
        <is>
          <t>纽约</t>
        </is>
      </c>
      <c r="B650" s="1" t="inlineStr">
        <is>
          <t>纽约</t>
        </is>
      </c>
      <c r="C650" s="1" t="inlineStr">
        <is>
          <t>Y-A4NY</t>
        </is>
      </c>
      <c r="D650" s="1" t="inlineStr">
        <is>
          <t>义乌</t>
        </is>
      </c>
      <c r="E650" s="1" t="inlineStr">
        <is>
          <t>BOS7</t>
        </is>
      </c>
      <c r="F650" s="134" t="n">
        <v>10.18</v>
      </c>
      <c r="G650" s="1" t="inlineStr">
        <is>
          <t>RMB/KG</t>
        </is>
      </c>
      <c r="H650" s="134" t="n">
        <v>0</v>
      </c>
      <c r="I650" s="1" t="inlineStr">
        <is>
          <t>2026-10-26</t>
        </is>
      </c>
      <c r="J650" s="1" t="inlineStr">
        <is>
          <t>凯琦FBA报价_当期.xlsx</t>
        </is>
      </c>
    </row>
    <row r="651">
      <c r="A651" s="1" t="inlineStr">
        <is>
          <t>纽约</t>
        </is>
      </c>
      <c r="B651" s="1" t="inlineStr">
        <is>
          <t>纽约</t>
        </is>
      </c>
      <c r="C651" s="1" t="inlineStr">
        <is>
          <t>Y-A4NY</t>
        </is>
      </c>
      <c r="D651" s="1" t="inlineStr">
        <is>
          <t>义乌</t>
        </is>
      </c>
      <c r="E651" s="1" t="inlineStr">
        <is>
          <t>BWI4</t>
        </is>
      </c>
      <c r="F651" s="134" t="n">
        <v>10.18</v>
      </c>
      <c r="G651" s="1" t="inlineStr">
        <is>
          <t>RMB/KG</t>
        </is>
      </c>
      <c r="H651" s="134" t="n">
        <v>0</v>
      </c>
      <c r="I651" s="1" t="inlineStr">
        <is>
          <t>2026-10-26</t>
        </is>
      </c>
      <c r="J651" s="1" t="inlineStr">
        <is>
          <t>凯琦FBA报价_当期.xlsx</t>
        </is>
      </c>
    </row>
    <row r="652">
      <c r="A652" s="1" t="inlineStr">
        <is>
          <t>纽约</t>
        </is>
      </c>
      <c r="B652" s="1" t="inlineStr">
        <is>
          <t>纽约</t>
        </is>
      </c>
      <c r="C652" s="1" t="inlineStr">
        <is>
          <t>Y-A4NY</t>
        </is>
      </c>
      <c r="D652" s="1" t="inlineStr">
        <is>
          <t>义乌</t>
        </is>
      </c>
      <c r="E652" s="1" t="inlineStr">
        <is>
          <t>BDL6</t>
        </is>
      </c>
      <c r="F652" s="134" t="n">
        <v>10.18</v>
      </c>
      <c r="G652" s="1" t="inlineStr">
        <is>
          <t>RMB/KG</t>
        </is>
      </c>
      <c r="H652" s="134" t="n">
        <v>0</v>
      </c>
      <c r="I652" s="1" t="inlineStr">
        <is>
          <t>2026-10-26</t>
        </is>
      </c>
      <c r="J652" s="1" t="inlineStr">
        <is>
          <t>凯琦FBA报价_当期.xlsx</t>
        </is>
      </c>
    </row>
    <row r="653">
      <c r="A653" s="1" t="inlineStr">
        <is>
          <t>纽约</t>
        </is>
      </c>
      <c r="B653" s="1" t="inlineStr">
        <is>
          <t>纽约</t>
        </is>
      </c>
      <c r="C653" s="1" t="inlineStr">
        <is>
          <t>Y-A4NY</t>
        </is>
      </c>
      <c r="D653" s="1" t="inlineStr">
        <is>
          <t>义乌</t>
        </is>
      </c>
      <c r="E653" s="1" t="inlineStr">
        <is>
          <t>CHO1</t>
        </is>
      </c>
      <c r="F653" s="134" t="n">
        <v>10.18</v>
      </c>
      <c r="G653" s="1" t="inlineStr">
        <is>
          <t>RMB/KG</t>
        </is>
      </c>
      <c r="H653" s="134" t="n">
        <v>0</v>
      </c>
      <c r="I653" s="1" t="inlineStr">
        <is>
          <t>2026-10-26</t>
        </is>
      </c>
      <c r="J653" s="1" t="inlineStr">
        <is>
          <t>凯琦FBA报价_当期.xlsx</t>
        </is>
      </c>
    </row>
    <row r="654">
      <c r="A654" s="1" t="inlineStr">
        <is>
          <t>纽约</t>
        </is>
      </c>
      <c r="B654" s="1" t="inlineStr">
        <is>
          <t>纽约</t>
        </is>
      </c>
      <c r="C654" s="1" t="inlineStr">
        <is>
          <t>Y-A4NY</t>
        </is>
      </c>
      <c r="D654" s="1" t="inlineStr">
        <is>
          <t>义乌</t>
        </is>
      </c>
      <c r="E654" s="1" t="inlineStr">
        <is>
          <t>XRI3</t>
        </is>
      </c>
      <c r="F654" s="134" t="n">
        <v>10.18</v>
      </c>
      <c r="G654" s="1" t="inlineStr">
        <is>
          <t>RMB/KG</t>
        </is>
      </c>
      <c r="H654" s="134" t="n">
        <v>0</v>
      </c>
      <c r="I654" s="1" t="inlineStr">
        <is>
          <t>2026-10-26</t>
        </is>
      </c>
      <c r="J654" s="1" t="inlineStr">
        <is>
          <t>凯琦FBA报价_当期.xlsx</t>
        </is>
      </c>
    </row>
    <row r="655">
      <c r="A655" s="1" t="inlineStr">
        <is>
          <t>纽约</t>
        </is>
      </c>
      <c r="B655" s="1" t="inlineStr">
        <is>
          <t>纽约</t>
        </is>
      </c>
      <c r="C655" s="1" t="inlineStr">
        <is>
          <t>Y-A4NY</t>
        </is>
      </c>
      <c r="D655" s="1" t="inlineStr">
        <is>
          <t>义乌</t>
        </is>
      </c>
      <c r="E655" s="1" t="inlineStr">
        <is>
          <t>ORF2</t>
        </is>
      </c>
      <c r="F655" s="134" t="n">
        <v>10.18</v>
      </c>
      <c r="G655" s="1" t="inlineStr">
        <is>
          <t>RMB/KG</t>
        </is>
      </c>
      <c r="H655" s="134" t="n">
        <v>0</v>
      </c>
      <c r="I655" s="1" t="inlineStr">
        <is>
          <t>2026-10-26</t>
        </is>
      </c>
      <c r="J655" s="1" t="inlineStr">
        <is>
          <t>凯琦FBA报价_当期.xlsx</t>
        </is>
      </c>
    </row>
    <row r="656">
      <c r="A656" s="1" t="inlineStr">
        <is>
          <t>纽约</t>
        </is>
      </c>
      <c r="B656" s="1" t="inlineStr">
        <is>
          <t>纽约</t>
        </is>
      </c>
      <c r="C656" s="1" t="inlineStr">
        <is>
          <t>Y-A4NY</t>
        </is>
      </c>
      <c r="D656" s="1" t="inlineStr">
        <is>
          <t>义乌</t>
        </is>
      </c>
      <c r="E656" s="1" t="inlineStr">
        <is>
          <t>RMN3</t>
        </is>
      </c>
      <c r="F656" s="134" t="n">
        <v>10.18</v>
      </c>
      <c r="G656" s="1" t="inlineStr">
        <is>
          <t>RMB/KG</t>
        </is>
      </c>
      <c r="H656" s="134" t="n">
        <v>0</v>
      </c>
      <c r="I656" s="1" t="inlineStr">
        <is>
          <t>2026-10-26</t>
        </is>
      </c>
      <c r="J656" s="1" t="inlineStr">
        <is>
          <t>凯琦FBA报价_当期.xlsx</t>
        </is>
      </c>
    </row>
    <row r="657">
      <c r="A657" s="1" t="inlineStr">
        <is>
          <t>纽约</t>
        </is>
      </c>
      <c r="B657" s="1" t="inlineStr">
        <is>
          <t>纽约</t>
        </is>
      </c>
      <c r="C657" s="1" t="inlineStr">
        <is>
          <t>Y-A4NY</t>
        </is>
      </c>
      <c r="D657" s="1" t="inlineStr">
        <is>
          <t>义乌</t>
        </is>
      </c>
      <c r="E657" s="1" t="inlineStr">
        <is>
          <t>CLT2</t>
        </is>
      </c>
      <c r="F657" s="134" t="n">
        <v>10.38</v>
      </c>
      <c r="G657" s="1" t="inlineStr">
        <is>
          <t>RMB/KG</t>
        </is>
      </c>
      <c r="H657" s="134" t="n">
        <v>0</v>
      </c>
      <c r="I657" s="1" t="inlineStr">
        <is>
          <t>2026-10-26</t>
        </is>
      </c>
      <c r="J657" s="1" t="inlineStr">
        <is>
          <t>凯琦FBA报价_当期.xlsx</t>
        </is>
      </c>
    </row>
    <row r="658">
      <c r="A658" s="1" t="inlineStr">
        <is>
          <t>纽约</t>
        </is>
      </c>
      <c r="B658" s="1" t="inlineStr">
        <is>
          <t>纽约</t>
        </is>
      </c>
      <c r="C658" s="1" t="inlineStr">
        <is>
          <t>Y-A4NY</t>
        </is>
      </c>
      <c r="D658" s="1" t="inlineStr">
        <is>
          <t>义乌</t>
        </is>
      </c>
      <c r="E658" s="1" t="inlineStr">
        <is>
          <t>GSO1</t>
        </is>
      </c>
      <c r="F658" s="134" t="n">
        <v>10.38</v>
      </c>
      <c r="G658" s="1" t="inlineStr">
        <is>
          <t>RMB/KG</t>
        </is>
      </c>
      <c r="H658" s="134" t="n">
        <v>0</v>
      </c>
      <c r="I658" s="1" t="inlineStr">
        <is>
          <t>2026-10-26</t>
        </is>
      </c>
      <c r="J658" s="1" t="inlineStr">
        <is>
          <t>凯琦FBA报价_当期.xlsx</t>
        </is>
      </c>
    </row>
    <row r="659">
      <c r="A659" s="1" t="inlineStr">
        <is>
          <t>纽约</t>
        </is>
      </c>
      <c r="B659" s="1" t="inlineStr">
        <is>
          <t>纽约</t>
        </is>
      </c>
      <c r="C659" s="1" t="inlineStr">
        <is>
          <t>Y-A4NY</t>
        </is>
      </c>
      <c r="D659" s="1" t="inlineStr">
        <is>
          <t>义乌</t>
        </is>
      </c>
      <c r="E659" s="1" t="inlineStr">
        <is>
          <t>AKR1</t>
        </is>
      </c>
      <c r="F659" s="134" t="n">
        <v>10.38</v>
      </c>
      <c r="G659" s="1" t="inlineStr">
        <is>
          <t>RMB/KG</t>
        </is>
      </c>
      <c r="H659" s="134" t="n">
        <v>0</v>
      </c>
      <c r="I659" s="1" t="inlineStr">
        <is>
          <t>2026-10-26</t>
        </is>
      </c>
      <c r="J659" s="1" t="inlineStr">
        <is>
          <t>凯琦FBA报价_当期.xlsx</t>
        </is>
      </c>
    </row>
    <row r="660">
      <c r="A660" s="1" t="inlineStr">
        <is>
          <t>纽约</t>
        </is>
      </c>
      <c r="B660" s="1" t="inlineStr">
        <is>
          <t>纽约</t>
        </is>
      </c>
      <c r="C660" s="1" t="inlineStr">
        <is>
          <t>Y-A4NY</t>
        </is>
      </c>
      <c r="D660" s="1" t="inlineStr">
        <is>
          <t>义乌</t>
        </is>
      </c>
      <c r="E660" s="1" t="inlineStr">
        <is>
          <t>XLX6</t>
        </is>
      </c>
      <c r="F660" s="134" t="n">
        <v>10.38</v>
      </c>
      <c r="G660" s="1" t="inlineStr">
        <is>
          <t>RMB/KG</t>
        </is>
      </c>
      <c r="H660" s="134" t="n">
        <v>0</v>
      </c>
      <c r="I660" s="1" t="inlineStr">
        <is>
          <t>2026-10-26</t>
        </is>
      </c>
      <c r="J660" s="1" t="inlineStr">
        <is>
          <t>凯琦FBA报价_当期.xlsx</t>
        </is>
      </c>
    </row>
    <row r="661">
      <c r="A661" s="1" t="inlineStr">
        <is>
          <t>纽约</t>
        </is>
      </c>
      <c r="B661" s="1" t="inlineStr">
        <is>
          <t>纽约</t>
        </is>
      </c>
      <c r="C661" s="1" t="inlineStr">
        <is>
          <t>Y-A4NY</t>
        </is>
      </c>
      <c r="D661" s="1" t="inlineStr">
        <is>
          <t>义乌</t>
        </is>
      </c>
      <c r="E661" s="1" t="inlineStr">
        <is>
          <t>RDU2</t>
        </is>
      </c>
      <c r="F661" s="134" t="n">
        <v>10.38</v>
      </c>
      <c r="G661" s="1" t="inlineStr">
        <is>
          <t>RMB/KG</t>
        </is>
      </c>
      <c r="H661" s="134" t="n">
        <v>0</v>
      </c>
      <c r="I661" s="1" t="inlineStr">
        <is>
          <t>2026-10-26</t>
        </is>
      </c>
      <c r="J661" s="1" t="inlineStr">
        <is>
          <t>凯琦FBA报价_当期.xlsx</t>
        </is>
      </c>
    </row>
    <row r="662">
      <c r="A662" s="1" t="inlineStr">
        <is>
          <t>纽约</t>
        </is>
      </c>
      <c r="B662" s="1" t="inlineStr">
        <is>
          <t>纽约</t>
        </is>
      </c>
      <c r="C662" s="1" t="inlineStr">
        <is>
          <t>Y-A4NY</t>
        </is>
      </c>
      <c r="D662" s="1" t="inlineStr">
        <is>
          <t>义乌</t>
        </is>
      </c>
      <c r="E662" s="1" t="inlineStr">
        <is>
          <t>HGR2</t>
        </is>
      </c>
      <c r="F662" s="134" t="n">
        <v>10.08</v>
      </c>
      <c r="G662" s="1" t="inlineStr">
        <is>
          <t>RMB/KG</t>
        </is>
      </c>
      <c r="H662" s="134" t="n">
        <v>0</v>
      </c>
      <c r="I662" s="1" t="inlineStr">
        <is>
          <t>2026-10-26</t>
        </is>
      </c>
      <c r="J662" s="1" t="inlineStr">
        <is>
          <t>凯琦FBA报价_当期.xlsx</t>
        </is>
      </c>
    </row>
    <row r="663">
      <c r="A663" s="1" t="inlineStr">
        <is>
          <t>纽约</t>
        </is>
      </c>
      <c r="B663" s="1" t="inlineStr">
        <is>
          <t>纽约</t>
        </is>
      </c>
      <c r="C663" s="1" t="inlineStr">
        <is>
          <t>Y-A4NY</t>
        </is>
      </c>
      <c r="D663" s="1" t="inlineStr">
        <is>
          <t>义乌</t>
        </is>
      </c>
      <c r="E663" s="1" t="inlineStr">
        <is>
          <t>IUST</t>
        </is>
      </c>
      <c r="F663" s="134" t="n">
        <v>10.28</v>
      </c>
      <c r="G663" s="1" t="inlineStr">
        <is>
          <t>RMB/KG</t>
        </is>
      </c>
      <c r="H663" s="134" t="n">
        <v>0</v>
      </c>
      <c r="I663" s="1" t="inlineStr">
        <is>
          <t>2026-10-26</t>
        </is>
      </c>
      <c r="J663" s="1" t="inlineStr">
        <is>
          <t>凯琦FBA报价_当期.xlsx</t>
        </is>
      </c>
    </row>
    <row r="664">
      <c r="A664" s="1" t="inlineStr">
        <is>
          <t>纽约</t>
        </is>
      </c>
      <c r="B664" s="1" t="inlineStr">
        <is>
          <t>纽约</t>
        </is>
      </c>
      <c r="C664" s="1" t="inlineStr">
        <is>
          <t>Y-A4NY</t>
        </is>
      </c>
      <c r="D664" s="1" t="inlineStr">
        <is>
          <t>义乌</t>
        </is>
      </c>
      <c r="E664" s="1" t="inlineStr">
        <is>
          <t>XPH1</t>
        </is>
      </c>
      <c r="F664" s="134" t="n">
        <v>10.68</v>
      </c>
      <c r="G664" s="1" t="inlineStr">
        <is>
          <t>RMB/KG</t>
        </is>
      </c>
      <c r="H664" s="134" t="n">
        <v>0</v>
      </c>
      <c r="I664" s="1" t="inlineStr">
        <is>
          <t>2026-10-26</t>
        </is>
      </c>
      <c r="J664" s="1" t="inlineStr">
        <is>
          <t>凯琦FBA报价_当期.xlsx</t>
        </is>
      </c>
    </row>
    <row r="665">
      <c r="A665" s="1" t="inlineStr">
        <is>
          <t>纽约</t>
        </is>
      </c>
      <c r="B665" s="1" t="inlineStr">
        <is>
          <t>纽约</t>
        </is>
      </c>
      <c r="C665" s="1" t="inlineStr">
        <is>
          <t>Y-A4NY</t>
        </is>
      </c>
      <c r="D665" s="1" t="inlineStr">
        <is>
          <t>义乌</t>
        </is>
      </c>
      <c r="E665" s="1" t="inlineStr">
        <is>
          <t>IUSR</t>
        </is>
      </c>
      <c r="F665" s="134" t="n">
        <v>10.98</v>
      </c>
      <c r="G665" s="1" t="inlineStr">
        <is>
          <t>RMB/KG</t>
        </is>
      </c>
      <c r="H665" s="134" t="n">
        <v>0</v>
      </c>
      <c r="I665" s="1" t="inlineStr">
        <is>
          <t>2026-10-26</t>
        </is>
      </c>
      <c r="J665" s="1" t="inlineStr">
        <is>
          <t>凯琦FBA报价_当期.xlsx</t>
        </is>
      </c>
    </row>
    <row r="666">
      <c r="A666" s="1" t="inlineStr">
        <is>
          <t>纽约</t>
        </is>
      </c>
      <c r="B666" s="1" t="inlineStr">
        <is>
          <t>纽约</t>
        </is>
      </c>
      <c r="C666" s="1" t="inlineStr">
        <is>
          <t>Y-A4NY</t>
        </is>
      </c>
      <c r="D666" s="1" t="inlineStr">
        <is>
          <t>义乌</t>
        </is>
      </c>
      <c r="E666" s="1" t="inlineStr">
        <is>
          <t>BNA2</t>
        </is>
      </c>
      <c r="F666" s="134" t="n">
        <v>10.88</v>
      </c>
      <c r="G666" s="1" t="inlineStr">
        <is>
          <t>RMB/KG</t>
        </is>
      </c>
      <c r="H666" s="134" t="n">
        <v>0</v>
      </c>
      <c r="I666" s="1" t="inlineStr">
        <is>
          <t>2026-10-26</t>
        </is>
      </c>
      <c r="J666" s="1" t="inlineStr">
        <is>
          <t>凯琦FBA报价_当期.xlsx</t>
        </is>
      </c>
    </row>
    <row r="667">
      <c r="A667" s="1" t="inlineStr">
        <is>
          <t>纽约</t>
        </is>
      </c>
      <c r="B667" s="1" t="inlineStr">
        <is>
          <t>纽约</t>
        </is>
      </c>
      <c r="C667" s="1" t="inlineStr">
        <is>
          <t>Y-A4NY</t>
        </is>
      </c>
      <c r="D667" s="1" t="inlineStr">
        <is>
          <t>义乌</t>
        </is>
      </c>
      <c r="E667" s="1" t="inlineStr">
        <is>
          <t>CHA2</t>
        </is>
      </c>
      <c r="F667" s="134" t="n">
        <v>10.88</v>
      </c>
      <c r="G667" s="1" t="inlineStr">
        <is>
          <t>RMB/KG</t>
        </is>
      </c>
      <c r="H667" s="134" t="n">
        <v>0</v>
      </c>
      <c r="I667" s="1" t="inlineStr">
        <is>
          <t>2026-10-26</t>
        </is>
      </c>
      <c r="J667" s="1" t="inlineStr">
        <is>
          <t>凯琦FBA报价_当期.xlsx</t>
        </is>
      </c>
    </row>
    <row r="668">
      <c r="A668" s="1" t="inlineStr">
        <is>
          <t>纽约</t>
        </is>
      </c>
      <c r="B668" s="1" t="inlineStr">
        <is>
          <t>纽约</t>
        </is>
      </c>
      <c r="C668" s="1" t="inlineStr">
        <is>
          <t>Y-A4NY</t>
        </is>
      </c>
      <c r="D668" s="1" t="inlineStr">
        <is>
          <t>义乌</t>
        </is>
      </c>
      <c r="E668" s="1" t="inlineStr">
        <is>
          <t>BNA6</t>
        </is>
      </c>
      <c r="F668" s="134" t="n">
        <v>10.88</v>
      </c>
      <c r="G668" s="1" t="inlineStr">
        <is>
          <t>RMB/KG</t>
        </is>
      </c>
      <c r="H668" s="134" t="n">
        <v>0</v>
      </c>
      <c r="I668" s="1" t="inlineStr">
        <is>
          <t>2026-10-26</t>
        </is>
      </c>
      <c r="J668" s="1" t="inlineStr">
        <is>
          <t>凯琦FBA报价_当期.xlsx</t>
        </is>
      </c>
    </row>
    <row r="669">
      <c r="A669" s="1" t="inlineStr">
        <is>
          <t>纽约</t>
        </is>
      </c>
      <c r="B669" s="1" t="inlineStr">
        <is>
          <t>纽约</t>
        </is>
      </c>
      <c r="C669" s="1" t="inlineStr">
        <is>
          <t>Y-A4NY</t>
        </is>
      </c>
      <c r="D669" s="1" t="inlineStr">
        <is>
          <t>义乌</t>
        </is>
      </c>
      <c r="E669" s="1" t="inlineStr">
        <is>
          <t>MGE1</t>
        </is>
      </c>
      <c r="F669" s="134" t="n">
        <v>10.88</v>
      </c>
      <c r="G669" s="1" t="inlineStr">
        <is>
          <t>RMB/KG</t>
        </is>
      </c>
      <c r="H669" s="134" t="n">
        <v>0</v>
      </c>
      <c r="I669" s="1" t="inlineStr">
        <is>
          <t>2026-10-26</t>
        </is>
      </c>
      <c r="J669" s="1" t="inlineStr">
        <is>
          <t>凯琦FBA报价_当期.xlsx</t>
        </is>
      </c>
    </row>
    <row r="670">
      <c r="A670" s="1" t="inlineStr">
        <is>
          <t>纽约</t>
        </is>
      </c>
      <c r="B670" s="1" t="inlineStr">
        <is>
          <t>纽约</t>
        </is>
      </c>
      <c r="C670" s="1" t="inlineStr">
        <is>
          <t>Y-A4NY</t>
        </is>
      </c>
      <c r="D670" s="1" t="inlineStr">
        <is>
          <t>义乌</t>
        </is>
      </c>
      <c r="E670" s="1" t="inlineStr">
        <is>
          <t>HSV1</t>
        </is>
      </c>
      <c r="F670" s="134" t="n">
        <v>10.88</v>
      </c>
      <c r="G670" s="1" t="inlineStr">
        <is>
          <t>RMB/KG</t>
        </is>
      </c>
      <c r="H670" s="134" t="n">
        <v>0</v>
      </c>
      <c r="I670" s="1" t="inlineStr">
        <is>
          <t>2026-10-26</t>
        </is>
      </c>
      <c r="J670" s="1" t="inlineStr">
        <is>
          <t>凯琦FBA报价_当期.xlsx</t>
        </is>
      </c>
    </row>
    <row r="671">
      <c r="A671" s="1" t="inlineStr">
        <is>
          <t>纽约</t>
        </is>
      </c>
      <c r="B671" s="1" t="inlineStr">
        <is>
          <t>纽约</t>
        </is>
      </c>
      <c r="C671" s="1" t="inlineStr">
        <is>
          <t>Y-A4NY</t>
        </is>
      </c>
      <c r="D671" s="1" t="inlineStr">
        <is>
          <t>义乌</t>
        </is>
      </c>
      <c r="E671" s="1" t="inlineStr">
        <is>
          <t>CMH3</t>
        </is>
      </c>
      <c r="F671" s="134" t="n">
        <v>10.58</v>
      </c>
      <c r="G671" s="1" t="inlineStr">
        <is>
          <t>RMB/KG</t>
        </is>
      </c>
      <c r="H671" s="134" t="n">
        <v>0</v>
      </c>
      <c r="I671" s="1" t="inlineStr">
        <is>
          <t>2026-10-26</t>
        </is>
      </c>
      <c r="J671" s="1" t="inlineStr">
        <is>
          <t>凯琦FBA报价_当期.xlsx</t>
        </is>
      </c>
    </row>
    <row r="672">
      <c r="A672" s="1" t="inlineStr">
        <is>
          <t>纽约</t>
        </is>
      </c>
      <c r="B672" s="1" t="inlineStr">
        <is>
          <t>纽约</t>
        </is>
      </c>
      <c r="C672" s="1" t="inlineStr">
        <is>
          <t>Y-A4NY</t>
        </is>
      </c>
      <c r="D672" s="1" t="inlineStr">
        <is>
          <t>义乌</t>
        </is>
      </c>
      <c r="E672" s="1" t="inlineStr">
        <is>
          <t>CMH2</t>
        </is>
      </c>
      <c r="F672" s="134" t="n">
        <v>10.58</v>
      </c>
      <c r="G672" s="1" t="inlineStr">
        <is>
          <t>RMB/KG</t>
        </is>
      </c>
      <c r="H672" s="134" t="n">
        <v>0</v>
      </c>
      <c r="I672" s="1" t="inlineStr">
        <is>
          <t>2026-10-26</t>
        </is>
      </c>
      <c r="J672" s="1" t="inlineStr">
        <is>
          <t>凯琦FBA报价_当期.xlsx</t>
        </is>
      </c>
    </row>
    <row r="673">
      <c r="A673" s="1" t="inlineStr">
        <is>
          <t>纽约</t>
        </is>
      </c>
      <c r="B673" s="1" t="inlineStr">
        <is>
          <t>纽约</t>
        </is>
      </c>
      <c r="C673" s="1" t="inlineStr">
        <is>
          <t>Y-A4NY</t>
        </is>
      </c>
      <c r="D673" s="1" t="inlineStr">
        <is>
          <t>义乌</t>
        </is>
      </c>
      <c r="E673" s="1" t="inlineStr">
        <is>
          <t>CLT6</t>
        </is>
      </c>
      <c r="F673" s="134" t="n">
        <v>10.58</v>
      </c>
      <c r="G673" s="1" t="inlineStr">
        <is>
          <t>RMB/KG</t>
        </is>
      </c>
      <c r="H673" s="134" t="n">
        <v>0</v>
      </c>
      <c r="I673" s="1" t="inlineStr">
        <is>
          <t>2026-10-26</t>
        </is>
      </c>
      <c r="J673" s="1" t="inlineStr">
        <is>
          <t>凯琦FBA报价_当期.xlsx</t>
        </is>
      </c>
    </row>
    <row r="674">
      <c r="A674" s="1" t="inlineStr">
        <is>
          <t>纽约</t>
        </is>
      </c>
      <c r="B674" s="1" t="inlineStr">
        <is>
          <t>纽约</t>
        </is>
      </c>
      <c r="C674" s="1" t="inlineStr">
        <is>
          <t>Y-A4NY</t>
        </is>
      </c>
      <c r="D674" s="1" t="inlineStr">
        <is>
          <t>义乌</t>
        </is>
      </c>
      <c r="E674" s="1" t="inlineStr">
        <is>
          <t>RYY2</t>
        </is>
      </c>
      <c r="F674" s="134" t="n">
        <v>11.28</v>
      </c>
      <c r="G674" s="1" t="inlineStr">
        <is>
          <t>RMB/KG</t>
        </is>
      </c>
      <c r="H674" s="134" t="n">
        <v>0</v>
      </c>
      <c r="I674" s="1" t="inlineStr">
        <is>
          <t>2026-10-26</t>
        </is>
      </c>
      <c r="J674" s="1" t="inlineStr">
        <is>
          <t>凯琦FBA报价_当期.xlsx</t>
        </is>
      </c>
    </row>
    <row r="675">
      <c r="A675" s="1" t="inlineStr">
        <is>
          <t>纽约</t>
        </is>
      </c>
      <c r="B675" s="1" t="inlineStr">
        <is>
          <t>纽约</t>
        </is>
      </c>
      <c r="C675" s="1" t="inlineStr">
        <is>
          <t>Y-A4NY</t>
        </is>
      </c>
      <c r="D675" s="1" t="inlineStr">
        <is>
          <t>义乌</t>
        </is>
      </c>
      <c r="E675" s="1" t="inlineStr">
        <is>
          <t>MGE3</t>
        </is>
      </c>
      <c r="F675" s="134" t="n">
        <v>11.28</v>
      </c>
      <c r="G675" s="1" t="inlineStr">
        <is>
          <t>RMB/KG</t>
        </is>
      </c>
      <c r="H675" s="134" t="n">
        <v>0</v>
      </c>
      <c r="I675" s="1" t="inlineStr">
        <is>
          <t>2026-10-26</t>
        </is>
      </c>
      <c r="J675" s="1" t="inlineStr">
        <is>
          <t>凯琦FBA报价_当期.xlsx</t>
        </is>
      </c>
    </row>
    <row r="676">
      <c r="A676" s="1" t="inlineStr">
        <is>
          <t>纽约</t>
        </is>
      </c>
      <c r="B676" s="1" t="inlineStr">
        <is>
          <t>纽约</t>
        </is>
      </c>
      <c r="C676" s="1" t="inlineStr">
        <is>
          <t>Y-A4NY</t>
        </is>
      </c>
      <c r="D676" s="1" t="inlineStr">
        <is>
          <t>义乌</t>
        </is>
      </c>
      <c r="E676" s="1" t="inlineStr">
        <is>
          <t>MCO2</t>
        </is>
      </c>
      <c r="F676" s="134" t="n">
        <v>12.28</v>
      </c>
      <c r="G676" s="1" t="inlineStr">
        <is>
          <t>RMB/KG</t>
        </is>
      </c>
      <c r="H676" s="134" t="n">
        <v>0</v>
      </c>
      <c r="I676" s="1" t="inlineStr">
        <is>
          <t>2026-10-26</t>
        </is>
      </c>
      <c r="J676" s="1" t="inlineStr">
        <is>
          <t>凯琦FBA报价_当期.xlsx</t>
        </is>
      </c>
    </row>
    <row r="677">
      <c r="A677" s="1" t="inlineStr">
        <is>
          <t>纽约</t>
        </is>
      </c>
      <c r="B677" s="1" t="inlineStr">
        <is>
          <t>纽约</t>
        </is>
      </c>
      <c r="C677" s="1" t="inlineStr">
        <is>
          <t>Y-A4NY</t>
        </is>
      </c>
      <c r="D677" s="1" t="inlineStr">
        <is>
          <t>义乌</t>
        </is>
      </c>
      <c r="E677" s="1" t="inlineStr">
        <is>
          <t>TPA2</t>
        </is>
      </c>
      <c r="F677" s="134" t="n">
        <v>12.28</v>
      </c>
      <c r="G677" s="1" t="inlineStr">
        <is>
          <t>RMB/KG</t>
        </is>
      </c>
      <c r="H677" s="134" t="n">
        <v>0</v>
      </c>
      <c r="I677" s="1" t="inlineStr">
        <is>
          <t>2026-10-26</t>
        </is>
      </c>
      <c r="J677" s="1" t="inlineStr">
        <is>
          <t>凯琦FBA报价_当期.xlsx</t>
        </is>
      </c>
    </row>
    <row r="678">
      <c r="A678" s="1" t="inlineStr">
        <is>
          <t>纽约</t>
        </is>
      </c>
      <c r="B678" s="1" t="inlineStr">
        <is>
          <t>纽约</t>
        </is>
      </c>
      <c r="C678" s="1" t="inlineStr">
        <is>
          <t>Y-A4NY</t>
        </is>
      </c>
      <c r="D678" s="1" t="inlineStr">
        <is>
          <t>义乌</t>
        </is>
      </c>
      <c r="E678" s="1" t="inlineStr">
        <is>
          <t>TPA3</t>
        </is>
      </c>
      <c r="F678" s="134" t="n">
        <v>12.28</v>
      </c>
      <c r="G678" s="1" t="inlineStr">
        <is>
          <t>RMB/KG</t>
        </is>
      </c>
      <c r="H678" s="134" t="n">
        <v>0</v>
      </c>
      <c r="I678" s="1" t="inlineStr">
        <is>
          <t>2026-10-26</t>
        </is>
      </c>
      <c r="J678" s="1" t="inlineStr">
        <is>
          <t>凯琦FBA报价_当期.xlsx</t>
        </is>
      </c>
    </row>
    <row r="679">
      <c r="A679" s="1" t="inlineStr">
        <is>
          <t>萨瓦纳</t>
        </is>
      </c>
      <c r="B679" s="1" t="inlineStr">
        <is>
          <t>萨瓦纳</t>
        </is>
      </c>
      <c r="C679" s="1" t="inlineStr">
        <is>
          <t>Y-K16萨瓦纳海卡</t>
        </is>
      </c>
      <c r="D679" s="1" t="inlineStr">
        <is>
          <t>义乌</t>
        </is>
      </c>
      <c r="E679" s="1" t="inlineStr">
        <is>
          <t>JAX3</t>
        </is>
      </c>
      <c r="F679" s="134" t="n">
        <v>10.08</v>
      </c>
      <c r="G679" s="1" t="inlineStr">
        <is>
          <t>RMB/KG</t>
        </is>
      </c>
      <c r="H679" s="134" t="n">
        <v>0</v>
      </c>
      <c r="I679" s="1" t="inlineStr">
        <is>
          <t>2026-10-26</t>
        </is>
      </c>
      <c r="J679" s="1" t="inlineStr">
        <is>
          <t>凯琦FBA报价_当期.xlsx</t>
        </is>
      </c>
    </row>
    <row r="680">
      <c r="A680" s="1" t="inlineStr">
        <is>
          <t>萨瓦纳</t>
        </is>
      </c>
      <c r="B680" s="1" t="inlineStr">
        <is>
          <t>萨瓦纳</t>
        </is>
      </c>
      <c r="C680" s="1" t="inlineStr">
        <is>
          <t>Y-K16萨瓦纳海卡</t>
        </is>
      </c>
      <c r="D680" s="1" t="inlineStr">
        <is>
          <t>义乌</t>
        </is>
      </c>
      <c r="E680" s="1" t="inlineStr">
        <is>
          <t>XLX6</t>
        </is>
      </c>
      <c r="F680" s="134" t="n">
        <v>10.08</v>
      </c>
      <c r="G680" s="1" t="inlineStr">
        <is>
          <t>RMB/KG</t>
        </is>
      </c>
      <c r="H680" s="134" t="n">
        <v>0</v>
      </c>
      <c r="I680" s="1" t="inlineStr">
        <is>
          <t>2026-10-26</t>
        </is>
      </c>
      <c r="J680" s="1" t="inlineStr">
        <is>
          <t>凯琦FBA报价_当期.xlsx</t>
        </is>
      </c>
    </row>
    <row r="681">
      <c r="A681" s="1" t="inlineStr">
        <is>
          <t>萨瓦纳</t>
        </is>
      </c>
      <c r="B681" s="1" t="inlineStr">
        <is>
          <t>萨瓦纳</t>
        </is>
      </c>
      <c r="C681" s="1" t="inlineStr">
        <is>
          <t>Y-K16萨瓦纳海卡</t>
        </is>
      </c>
      <c r="D681" s="1" t="inlineStr">
        <is>
          <t>义乌</t>
        </is>
      </c>
      <c r="E681" s="1" t="inlineStr">
        <is>
          <t>GSO1</t>
        </is>
      </c>
      <c r="F681" s="134" t="n">
        <v>10.08</v>
      </c>
      <c r="G681" s="1" t="inlineStr">
        <is>
          <t>RMB/KG</t>
        </is>
      </c>
      <c r="H681" s="134" t="n">
        <v>0</v>
      </c>
      <c r="I681" s="1" t="inlineStr">
        <is>
          <t>2026-10-26</t>
        </is>
      </c>
      <c r="J681" s="1" t="inlineStr">
        <is>
          <t>凯琦FBA报价_当期.xlsx</t>
        </is>
      </c>
    </row>
    <row r="682">
      <c r="A682" s="1" t="inlineStr">
        <is>
          <t>萨瓦纳</t>
        </is>
      </c>
      <c r="B682" s="1" t="inlineStr">
        <is>
          <t>萨瓦纳</t>
        </is>
      </c>
      <c r="C682" s="1" t="inlineStr">
        <is>
          <t>Y-K16萨瓦纳海卡</t>
        </is>
      </c>
      <c r="D682" s="1" t="inlineStr">
        <is>
          <t>义乌</t>
        </is>
      </c>
      <c r="E682" s="1" t="inlineStr">
        <is>
          <t>RYY2</t>
        </is>
      </c>
      <c r="F682" s="134" t="n">
        <v>10.08</v>
      </c>
      <c r="G682" s="1" t="inlineStr">
        <is>
          <t>RMB/KG</t>
        </is>
      </c>
      <c r="H682" s="134" t="n">
        <v>0</v>
      </c>
      <c r="I682" s="1" t="inlineStr">
        <is>
          <t>2026-10-26</t>
        </is>
      </c>
      <c r="J682" s="1" t="inlineStr">
        <is>
          <t>凯琦FBA报价_当期.xlsx</t>
        </is>
      </c>
    </row>
    <row r="683">
      <c r="A683" s="1" t="inlineStr">
        <is>
          <t>萨瓦纳</t>
        </is>
      </c>
      <c r="B683" s="1" t="inlineStr">
        <is>
          <t>萨瓦纳</t>
        </is>
      </c>
      <c r="C683" s="1" t="inlineStr">
        <is>
          <t>Y-K16萨瓦纳海卡</t>
        </is>
      </c>
      <c r="D683" s="1" t="inlineStr">
        <is>
          <t>义乌</t>
        </is>
      </c>
      <c r="E683" s="1" t="inlineStr">
        <is>
          <t>CLT3</t>
        </is>
      </c>
      <c r="F683" s="134" t="n">
        <v>10.08</v>
      </c>
      <c r="G683" s="1" t="inlineStr">
        <is>
          <t>RMB/KG</t>
        </is>
      </c>
      <c r="H683" s="134" t="n">
        <v>0</v>
      </c>
      <c r="I683" s="1" t="inlineStr">
        <is>
          <t>2026-10-26</t>
        </is>
      </c>
      <c r="J683" s="1" t="inlineStr">
        <is>
          <t>凯琦FBA报价_当期.xlsx</t>
        </is>
      </c>
    </row>
    <row r="684">
      <c r="A684" s="1" t="inlineStr">
        <is>
          <t>萨瓦纳</t>
        </is>
      </c>
      <c r="B684" s="1" t="inlineStr">
        <is>
          <t>萨瓦纳</t>
        </is>
      </c>
      <c r="C684" s="1" t="inlineStr">
        <is>
          <t>Y-K16萨瓦纳海卡</t>
        </is>
      </c>
      <c r="D684" s="1" t="inlineStr">
        <is>
          <t>义乌</t>
        </is>
      </c>
      <c r="E684" s="1" t="inlineStr">
        <is>
          <t>CLT6</t>
        </is>
      </c>
      <c r="F684" s="134" t="n">
        <v>10.08</v>
      </c>
      <c r="G684" s="1" t="inlineStr">
        <is>
          <t>RMB/KG</t>
        </is>
      </c>
      <c r="H684" s="134" t="n">
        <v>0</v>
      </c>
      <c r="I684" s="1" t="inlineStr">
        <is>
          <t>2026-10-26</t>
        </is>
      </c>
      <c r="J684" s="1" t="inlineStr">
        <is>
          <t>凯琦FBA报价_当期.xlsx</t>
        </is>
      </c>
    </row>
    <row r="685">
      <c r="A685" s="1" t="inlineStr">
        <is>
          <t>萨瓦纳</t>
        </is>
      </c>
      <c r="B685" s="1" t="inlineStr">
        <is>
          <t>萨瓦纳</t>
        </is>
      </c>
      <c r="C685" s="1" t="inlineStr">
        <is>
          <t>Y-K16萨瓦纳海卡</t>
        </is>
      </c>
      <c r="D685" s="1" t="inlineStr">
        <is>
          <t>义乌</t>
        </is>
      </c>
      <c r="E685" s="1" t="inlineStr">
        <is>
          <t>RDU2</t>
        </is>
      </c>
      <c r="F685" s="134" t="n">
        <v>10.08</v>
      </c>
      <c r="G685" s="1" t="inlineStr">
        <is>
          <t>RMB/KG</t>
        </is>
      </c>
      <c r="H685" s="134" t="n">
        <v>0</v>
      </c>
      <c r="I685" s="1" t="inlineStr">
        <is>
          <t>2026-10-26</t>
        </is>
      </c>
      <c r="J685" s="1" t="inlineStr">
        <is>
          <t>凯琦FBA报价_当期.xlsx</t>
        </is>
      </c>
    </row>
    <row r="686">
      <c r="A686" s="1" t="inlineStr">
        <is>
          <t>萨瓦纳</t>
        </is>
      </c>
      <c r="B686" s="1" t="inlineStr">
        <is>
          <t>萨瓦纳</t>
        </is>
      </c>
      <c r="C686" s="1" t="inlineStr">
        <is>
          <t>Y-K16萨瓦纳海卡</t>
        </is>
      </c>
      <c r="D686" s="1" t="inlineStr">
        <is>
          <t>义乌</t>
        </is>
      </c>
      <c r="E686" s="1" t="inlineStr">
        <is>
          <t>IUSR</t>
        </is>
      </c>
      <c r="F686" s="134" t="n">
        <v>10.28</v>
      </c>
      <c r="G686" s="1" t="inlineStr">
        <is>
          <t>RMB/KG</t>
        </is>
      </c>
      <c r="H686" s="134" t="n">
        <v>0</v>
      </c>
      <c r="I686" s="1" t="inlineStr">
        <is>
          <t>2026-10-26</t>
        </is>
      </c>
      <c r="J686" s="1" t="inlineStr">
        <is>
          <t>凯琦FBA报价_当期.xlsx</t>
        </is>
      </c>
    </row>
    <row r="687">
      <c r="A687" s="1" t="inlineStr">
        <is>
          <t>萨瓦纳</t>
        </is>
      </c>
      <c r="B687" s="1" t="inlineStr">
        <is>
          <t>萨瓦纳</t>
        </is>
      </c>
      <c r="C687" s="1" t="inlineStr">
        <is>
          <t>Y-K16萨瓦纳海卡</t>
        </is>
      </c>
      <c r="D687" s="1" t="inlineStr">
        <is>
          <t>义乌</t>
        </is>
      </c>
      <c r="E687" s="1" t="inlineStr">
        <is>
          <t>MGE3</t>
        </is>
      </c>
      <c r="F687" s="134" t="n">
        <v>10.28</v>
      </c>
      <c r="G687" s="1" t="inlineStr">
        <is>
          <t>RMB/KG</t>
        </is>
      </c>
      <c r="H687" s="134" t="n">
        <v>0</v>
      </c>
      <c r="I687" s="1" t="inlineStr">
        <is>
          <t>2026-10-26</t>
        </is>
      </c>
      <c r="J687" s="1" t="inlineStr">
        <is>
          <t>凯琦FBA报价_当期.xlsx</t>
        </is>
      </c>
    </row>
    <row r="688">
      <c r="A688" s="1" t="inlineStr">
        <is>
          <t>萨瓦纳</t>
        </is>
      </c>
      <c r="B688" s="1" t="inlineStr">
        <is>
          <t>萨瓦纳</t>
        </is>
      </c>
      <c r="C688" s="1" t="inlineStr">
        <is>
          <t>Y-K16萨瓦纳海卡</t>
        </is>
      </c>
      <c r="D688" s="1" t="inlineStr">
        <is>
          <t>义乌</t>
        </is>
      </c>
      <c r="E688" s="1" t="inlineStr">
        <is>
          <t>CLT2</t>
        </is>
      </c>
      <c r="F688" s="134" t="n">
        <v>10.28</v>
      </c>
      <c r="G688" s="1" t="inlineStr">
        <is>
          <t>RMB/KG</t>
        </is>
      </c>
      <c r="H688" s="134" t="n">
        <v>0</v>
      </c>
      <c r="I688" s="1" t="inlineStr">
        <is>
          <t>2026-10-26</t>
        </is>
      </c>
      <c r="J688" s="1" t="inlineStr">
        <is>
          <t>凯琦FBA报价_当期.xlsx</t>
        </is>
      </c>
    </row>
    <row r="689">
      <c r="A689" s="1" t="inlineStr">
        <is>
          <t>萨瓦纳</t>
        </is>
      </c>
      <c r="B689" s="1" t="inlineStr">
        <is>
          <t>萨瓦纳</t>
        </is>
      </c>
      <c r="C689" s="1" t="inlineStr">
        <is>
          <t>Y-K16萨瓦纳海卡</t>
        </is>
      </c>
      <c r="D689" s="1" t="inlineStr">
        <is>
          <t>义乌</t>
        </is>
      </c>
      <c r="E689" s="1" t="inlineStr">
        <is>
          <t>MCO2</t>
        </is>
      </c>
      <c r="F689" s="134" t="n">
        <v>10.28</v>
      </c>
      <c r="G689" s="1" t="inlineStr">
        <is>
          <t>RMB/KG</t>
        </is>
      </c>
      <c r="H689" s="134" t="n">
        <v>0</v>
      </c>
      <c r="I689" s="1" t="inlineStr">
        <is>
          <t>2026-10-26</t>
        </is>
      </c>
      <c r="J689" s="1" t="inlineStr">
        <is>
          <t>凯琦FBA报价_当期.xlsx</t>
        </is>
      </c>
    </row>
    <row r="690">
      <c r="A690" s="1" t="inlineStr">
        <is>
          <t>萨瓦纳</t>
        </is>
      </c>
      <c r="B690" s="1" t="inlineStr">
        <is>
          <t>萨瓦纳</t>
        </is>
      </c>
      <c r="C690" s="1" t="inlineStr">
        <is>
          <t>Y-K16萨瓦纳海卡</t>
        </is>
      </c>
      <c r="D690" s="1" t="inlineStr">
        <is>
          <t>义乌</t>
        </is>
      </c>
      <c r="E690" s="1" t="inlineStr">
        <is>
          <t>TPA2</t>
        </is>
      </c>
      <c r="F690" s="134" t="n">
        <v>10.28</v>
      </c>
      <c r="G690" s="1" t="inlineStr">
        <is>
          <t>RMB/KG</t>
        </is>
      </c>
      <c r="H690" s="134" t="n">
        <v>0</v>
      </c>
      <c r="I690" s="1" t="inlineStr">
        <is>
          <t>2026-10-26</t>
        </is>
      </c>
      <c r="J690" s="1" t="inlineStr">
        <is>
          <t>凯琦FBA报价_当期.xlsx</t>
        </is>
      </c>
    </row>
    <row r="691">
      <c r="A691" s="1" t="inlineStr">
        <is>
          <t>萨瓦纳</t>
        </is>
      </c>
      <c r="B691" s="1" t="inlineStr">
        <is>
          <t>萨瓦纳</t>
        </is>
      </c>
      <c r="C691" s="1" t="inlineStr">
        <is>
          <t>Y-K16萨瓦纳海卡</t>
        </is>
      </c>
      <c r="D691" s="1" t="inlineStr">
        <is>
          <t>义乌</t>
        </is>
      </c>
      <c r="E691" s="1" t="inlineStr">
        <is>
          <t>TPA3</t>
        </is>
      </c>
      <c r="F691" s="134" t="n">
        <v>10.28</v>
      </c>
      <c r="G691" s="1" t="inlineStr">
        <is>
          <t>RMB/KG</t>
        </is>
      </c>
      <c r="H691" s="134" t="n">
        <v>0</v>
      </c>
      <c r="I691" s="1" t="inlineStr">
        <is>
          <t>2026-10-26</t>
        </is>
      </c>
      <c r="J691" s="1" t="inlineStr">
        <is>
          <t>凯琦FBA报价_当期.xlsx</t>
        </is>
      </c>
    </row>
    <row r="692">
      <c r="A692" s="1" t="inlineStr">
        <is>
          <t>萨瓦纳</t>
        </is>
      </c>
      <c r="B692" s="1" t="inlineStr">
        <is>
          <t>萨瓦纳</t>
        </is>
      </c>
      <c r="C692" s="1" t="inlineStr">
        <is>
          <t>Y-K16萨瓦纳海卡</t>
        </is>
      </c>
      <c r="D692" s="1" t="inlineStr">
        <is>
          <t>义乌</t>
        </is>
      </c>
      <c r="E692" s="1" t="inlineStr">
        <is>
          <t>PBI2</t>
        </is>
      </c>
      <c r="F692" s="134" t="n">
        <v>10.48</v>
      </c>
      <c r="G692" s="1" t="inlineStr">
        <is>
          <t>RMB/KG</t>
        </is>
      </c>
      <c r="H692" s="134" t="n">
        <v>0</v>
      </c>
      <c r="I692" s="1" t="inlineStr">
        <is>
          <t>2026-10-26</t>
        </is>
      </c>
      <c r="J692" s="1" t="inlineStr">
        <is>
          <t>凯琦FBA报价_当期.xlsx</t>
        </is>
      </c>
    </row>
    <row r="693">
      <c r="A693" s="1" t="inlineStr">
        <is>
          <t>萨瓦纳</t>
        </is>
      </c>
      <c r="B693" s="1" t="inlineStr">
        <is>
          <t>萨瓦纳</t>
        </is>
      </c>
      <c r="C693" s="1" t="inlineStr">
        <is>
          <t>Y-K16萨瓦纳海卡</t>
        </is>
      </c>
      <c r="D693" s="1" t="inlineStr">
        <is>
          <t>义乌</t>
        </is>
      </c>
      <c r="E693" s="1" t="inlineStr">
        <is>
          <t>XPB2</t>
        </is>
      </c>
      <c r="F693" s="134" t="n">
        <v>10.48</v>
      </c>
      <c r="G693" s="1" t="inlineStr">
        <is>
          <t>RMB/KG</t>
        </is>
      </c>
      <c r="H693" s="134" t="n">
        <v>0</v>
      </c>
      <c r="I693" s="1" t="inlineStr">
        <is>
          <t>2026-10-26</t>
        </is>
      </c>
      <c r="J693" s="1" t="inlineStr">
        <is>
          <t>凯琦FBA报价_当期.xlsx</t>
        </is>
      </c>
    </row>
    <row r="694">
      <c r="A694" s="1" t="inlineStr">
        <is>
          <t>萨瓦纳</t>
        </is>
      </c>
      <c r="B694" s="1" t="inlineStr">
        <is>
          <t>萨瓦纳</t>
        </is>
      </c>
      <c r="C694" s="1" t="inlineStr">
        <is>
          <t>Y-K16萨瓦纳海卡</t>
        </is>
      </c>
      <c r="D694" s="1" t="inlineStr">
        <is>
          <t>义乌</t>
        </is>
      </c>
      <c r="E694" s="1" t="inlineStr">
        <is>
          <t>INC1</t>
        </is>
      </c>
      <c r="F694" s="134" t="n">
        <v>10.48</v>
      </c>
      <c r="G694" s="1" t="inlineStr">
        <is>
          <t>RMB/KG</t>
        </is>
      </c>
      <c r="H694" s="134" t="n">
        <v>0</v>
      </c>
      <c r="I694" s="1" t="inlineStr">
        <is>
          <t>2026-10-26</t>
        </is>
      </c>
      <c r="J694" s="1" t="inlineStr">
        <is>
          <t>凯琦FBA报价_当期.xlsx</t>
        </is>
      </c>
    </row>
    <row r="695">
      <c r="A695" s="1" t="inlineStr">
        <is>
          <t>萨瓦纳</t>
        </is>
      </c>
      <c r="B695" s="1" t="inlineStr">
        <is>
          <t>萨瓦纳</t>
        </is>
      </c>
      <c r="C695" s="1" t="inlineStr">
        <is>
          <t>Y-K16萨瓦纳海卡</t>
        </is>
      </c>
      <c r="D695" s="1" t="inlineStr">
        <is>
          <t>义乌</t>
        </is>
      </c>
      <c r="E695" s="1" t="inlineStr">
        <is>
          <t>IMS1</t>
        </is>
      </c>
      <c r="F695" s="134" t="n">
        <v>10.48</v>
      </c>
      <c r="G695" s="1" t="inlineStr">
        <is>
          <t>RMB/KG</t>
        </is>
      </c>
      <c r="H695" s="134" t="n">
        <v>0</v>
      </c>
      <c r="I695" s="1" t="inlineStr">
        <is>
          <t>2026-10-26</t>
        </is>
      </c>
      <c r="J695" s="1" t="inlineStr">
        <is>
          <t>凯琦FBA报价_当期.xlsx</t>
        </is>
      </c>
    </row>
    <row r="696">
      <c r="A696" s="1" t="inlineStr">
        <is>
          <t>萨瓦纳</t>
        </is>
      </c>
      <c r="B696" s="1" t="inlineStr">
        <is>
          <t>萨瓦纳</t>
        </is>
      </c>
      <c r="C696" s="1" t="inlineStr">
        <is>
          <t>Y-K16萨瓦纳海卡</t>
        </is>
      </c>
      <c r="D696" s="1" t="inlineStr">
        <is>
          <t>义乌</t>
        </is>
      </c>
      <c r="E696" s="1" t="inlineStr">
        <is>
          <t>IGA3</t>
        </is>
      </c>
      <c r="F696" s="134" t="n">
        <v>10.48</v>
      </c>
      <c r="G696" s="1" t="inlineStr">
        <is>
          <t>RMB/KG</t>
        </is>
      </c>
      <c r="H696" s="134" t="n">
        <v>0</v>
      </c>
      <c r="I696" s="1" t="inlineStr">
        <is>
          <t>2026-10-26</t>
        </is>
      </c>
      <c r="J696" s="1" t="inlineStr">
        <is>
          <t>凯琦FBA报价_当期.xlsx</t>
        </is>
      </c>
    </row>
    <row r="697">
      <c r="A697" s="1" t="inlineStr">
        <is>
          <t>萨瓦纳</t>
        </is>
      </c>
      <c r="B697" s="1" t="inlineStr">
        <is>
          <t>萨瓦纳</t>
        </is>
      </c>
      <c r="C697" s="1" t="inlineStr">
        <is>
          <t>Y-K16萨瓦纳海卡</t>
        </is>
      </c>
      <c r="D697" s="1" t="inlineStr">
        <is>
          <t>义乌</t>
        </is>
      </c>
      <c r="E697" s="1" t="inlineStr">
        <is>
          <t>XMI3</t>
        </is>
      </c>
      <c r="F697" s="134" t="n">
        <v>10.48</v>
      </c>
      <c r="G697" s="1" t="inlineStr">
        <is>
          <t>RMB/KG</t>
        </is>
      </c>
      <c r="H697" s="134" t="n">
        <v>0</v>
      </c>
      <c r="I697" s="1" t="inlineStr">
        <is>
          <t>2026-10-26</t>
        </is>
      </c>
      <c r="J697" s="1" t="inlineStr">
        <is>
          <t>凯琦FBA报价_当期.xlsx</t>
        </is>
      </c>
    </row>
    <row r="698">
      <c r="A698" s="1" t="inlineStr">
        <is>
          <t>萨瓦纳</t>
        </is>
      </c>
      <c r="B698" s="1" t="inlineStr">
        <is>
          <t>萨瓦纳</t>
        </is>
      </c>
      <c r="C698" s="1" t="inlineStr">
        <is>
          <t>Y-K16萨瓦纳海卡</t>
        </is>
      </c>
      <c r="D698" s="1" t="inlineStr">
        <is>
          <t>义乌</t>
        </is>
      </c>
      <c r="E698" s="1" t="inlineStr">
        <is>
          <t>BNA2</t>
        </is>
      </c>
      <c r="F698" s="134" t="n">
        <v>10.48</v>
      </c>
      <c r="G698" s="1" t="inlineStr">
        <is>
          <t>RMB/KG</t>
        </is>
      </c>
      <c r="H698" s="134" t="n">
        <v>0</v>
      </c>
      <c r="I698" s="1" t="inlineStr">
        <is>
          <t>2026-10-26</t>
        </is>
      </c>
      <c r="J698" s="1" t="inlineStr">
        <is>
          <t>凯琦FBA报价_当期.xlsx</t>
        </is>
      </c>
    </row>
    <row r="699">
      <c r="A699" s="1" t="inlineStr">
        <is>
          <t>萨瓦纳</t>
        </is>
      </c>
      <c r="B699" s="1" t="inlineStr">
        <is>
          <t>萨瓦纳</t>
        </is>
      </c>
      <c r="C699" s="1" t="inlineStr">
        <is>
          <t>Y-K16萨瓦纳海卡</t>
        </is>
      </c>
      <c r="D699" s="1" t="inlineStr">
        <is>
          <t>义乌</t>
        </is>
      </c>
      <c r="E699" s="1" t="inlineStr">
        <is>
          <t>BNA6</t>
        </is>
      </c>
      <c r="F699" s="134" t="n">
        <v>10.48</v>
      </c>
      <c r="G699" s="1" t="inlineStr">
        <is>
          <t>RMB/KG</t>
        </is>
      </c>
      <c r="H699" s="134" t="n">
        <v>0</v>
      </c>
      <c r="I699" s="1" t="inlineStr">
        <is>
          <t>2026-10-26</t>
        </is>
      </c>
      <c r="J699" s="1" t="inlineStr">
        <is>
          <t>凯琦FBA报价_当期.xlsx</t>
        </is>
      </c>
    </row>
    <row r="700">
      <c r="A700" s="1" t="inlineStr">
        <is>
          <t>萨瓦纳</t>
        </is>
      </c>
      <c r="B700" s="1" t="inlineStr">
        <is>
          <t>萨瓦纳</t>
        </is>
      </c>
      <c r="C700" s="1" t="inlineStr">
        <is>
          <t>Y-K16萨瓦纳海卡</t>
        </is>
      </c>
      <c r="D700" s="1" t="inlineStr">
        <is>
          <t>义乌</t>
        </is>
      </c>
      <c r="E700" s="1" t="inlineStr">
        <is>
          <t>MQY2</t>
        </is>
      </c>
      <c r="F700" s="134" t="n">
        <v>10.48</v>
      </c>
      <c r="G700" s="1" t="inlineStr">
        <is>
          <t>RMB/KG</t>
        </is>
      </c>
      <c r="H700" s="134" t="n">
        <v>0</v>
      </c>
      <c r="I700" s="1" t="inlineStr">
        <is>
          <t>2026-10-26</t>
        </is>
      </c>
      <c r="J700" s="1" t="inlineStr">
        <is>
          <t>凯琦FBA报价_当期.xlsx</t>
        </is>
      </c>
    </row>
    <row r="701">
      <c r="A701" s="1" t="inlineStr">
        <is>
          <t>萨瓦纳</t>
        </is>
      </c>
      <c r="B701" s="1" t="inlineStr">
        <is>
          <t>萨瓦纳</t>
        </is>
      </c>
      <c r="C701" s="1" t="inlineStr">
        <is>
          <t>Y-K16萨瓦纳海卡</t>
        </is>
      </c>
      <c r="D701" s="1" t="inlineStr">
        <is>
          <t>义乌</t>
        </is>
      </c>
      <c r="E701" s="1" t="inlineStr">
        <is>
          <t>CHA2</t>
        </is>
      </c>
      <c r="F701" s="134" t="n">
        <v>10.68</v>
      </c>
      <c r="G701" s="1" t="inlineStr">
        <is>
          <t>RMB/KG</t>
        </is>
      </c>
      <c r="H701" s="134" t="n">
        <v>0</v>
      </c>
      <c r="I701" s="1" t="inlineStr">
        <is>
          <t>2026-10-26</t>
        </is>
      </c>
      <c r="J701" s="1" t="inlineStr">
        <is>
          <t>凯琦FBA报价_当期.xlsx</t>
        </is>
      </c>
    </row>
    <row r="702">
      <c r="A702" s="1" t="inlineStr">
        <is>
          <t>萨瓦纳</t>
        </is>
      </c>
      <c r="B702" s="1" t="inlineStr">
        <is>
          <t>萨瓦纳</t>
        </is>
      </c>
      <c r="C702" s="1" t="inlineStr">
        <is>
          <t>Y-K16萨瓦纳海卡</t>
        </is>
      </c>
      <c r="D702" s="1" t="inlineStr">
        <is>
          <t>义乌</t>
        </is>
      </c>
      <c r="E702" s="1" t="inlineStr">
        <is>
          <t>HSV1</t>
        </is>
      </c>
      <c r="F702" s="134" t="n">
        <v>10.68</v>
      </c>
      <c r="G702" s="1" t="inlineStr">
        <is>
          <t>RMB/KG</t>
        </is>
      </c>
      <c r="H702" s="134" t="n">
        <v>0</v>
      </c>
      <c r="I702" s="1" t="inlineStr">
        <is>
          <t>2026-10-26</t>
        </is>
      </c>
      <c r="J702" s="1" t="inlineStr">
        <is>
          <t>凯琦FBA报价_当期.xlsx</t>
        </is>
      </c>
    </row>
    <row r="703">
      <c r="A703" s="1" t="inlineStr">
        <is>
          <t>萨瓦纳</t>
        </is>
      </c>
      <c r="B703" s="1" t="inlineStr">
        <is>
          <t>萨瓦纳</t>
        </is>
      </c>
      <c r="C703" s="1" t="inlineStr">
        <is>
          <t>Y-K16萨瓦纳海卡</t>
        </is>
      </c>
      <c r="D703" s="1" t="inlineStr">
        <is>
          <t>义乌</t>
        </is>
      </c>
      <c r="E703" s="1" t="inlineStr">
        <is>
          <t>MEM1</t>
        </is>
      </c>
      <c r="F703" s="134" t="n">
        <v>10.68</v>
      </c>
      <c r="G703" s="1" t="inlineStr">
        <is>
          <t>RMB/KG</t>
        </is>
      </c>
      <c r="H703" s="134" t="n">
        <v>0</v>
      </c>
      <c r="I703" s="1" t="inlineStr">
        <is>
          <t>2026-10-26</t>
        </is>
      </c>
      <c r="J703" s="1" t="inlineStr">
        <is>
          <t>凯琦FBA报价_当期.xlsx</t>
        </is>
      </c>
    </row>
    <row r="704">
      <c r="A704" s="1" t="inlineStr">
        <is>
          <t>萨瓦纳</t>
        </is>
      </c>
      <c r="B704" s="1" t="inlineStr">
        <is>
          <t>萨瓦纳</t>
        </is>
      </c>
      <c r="C704" s="1" t="inlineStr">
        <is>
          <t>Y-A4SAV</t>
        </is>
      </c>
      <c r="D704" s="1" t="inlineStr">
        <is>
          <t>义乌</t>
        </is>
      </c>
      <c r="E704" s="1" t="inlineStr">
        <is>
          <t>JAX3</t>
        </is>
      </c>
      <c r="F704" s="134" t="n">
        <v>9.880000000000001</v>
      </c>
      <c r="G704" s="1" t="inlineStr">
        <is>
          <t>RMB/KG</t>
        </is>
      </c>
      <c r="H704" s="134" t="n">
        <v>0</v>
      </c>
      <c r="I704" s="1" t="inlineStr">
        <is>
          <t>2026-10-26</t>
        </is>
      </c>
      <c r="J704" s="1" t="inlineStr">
        <is>
          <t>凯琦FBA报价_当期.xlsx</t>
        </is>
      </c>
    </row>
    <row r="705">
      <c r="A705" s="1" t="inlineStr">
        <is>
          <t>萨瓦纳</t>
        </is>
      </c>
      <c r="B705" s="1" t="inlineStr">
        <is>
          <t>萨瓦纳</t>
        </is>
      </c>
      <c r="C705" s="1" t="inlineStr">
        <is>
          <t>Y-A4SAV</t>
        </is>
      </c>
      <c r="D705" s="1" t="inlineStr">
        <is>
          <t>义乌</t>
        </is>
      </c>
      <c r="E705" s="1" t="inlineStr">
        <is>
          <t>XLX6</t>
        </is>
      </c>
      <c r="F705" s="134" t="n">
        <v>9.880000000000001</v>
      </c>
      <c r="G705" s="1" t="inlineStr">
        <is>
          <t>RMB/KG</t>
        </is>
      </c>
      <c r="H705" s="134" t="n">
        <v>0</v>
      </c>
      <c r="I705" s="1" t="inlineStr">
        <is>
          <t>2026-10-26</t>
        </is>
      </c>
      <c r="J705" s="1" t="inlineStr">
        <is>
          <t>凯琦FBA报价_当期.xlsx</t>
        </is>
      </c>
    </row>
    <row r="706">
      <c r="A706" s="1" t="inlineStr">
        <is>
          <t>萨瓦纳</t>
        </is>
      </c>
      <c r="B706" s="1" t="inlineStr">
        <is>
          <t>萨瓦纳</t>
        </is>
      </c>
      <c r="C706" s="1" t="inlineStr">
        <is>
          <t>Y-A4SAV</t>
        </is>
      </c>
      <c r="D706" s="1" t="inlineStr">
        <is>
          <t>义乌</t>
        </is>
      </c>
      <c r="E706" s="1" t="inlineStr">
        <is>
          <t>GSO1</t>
        </is>
      </c>
      <c r="F706" s="134" t="n">
        <v>9.880000000000001</v>
      </c>
      <c r="G706" s="1" t="inlineStr">
        <is>
          <t>RMB/KG</t>
        </is>
      </c>
      <c r="H706" s="134" t="n">
        <v>0</v>
      </c>
      <c r="I706" s="1" t="inlineStr">
        <is>
          <t>2026-10-26</t>
        </is>
      </c>
      <c r="J706" s="1" t="inlineStr">
        <is>
          <t>凯琦FBA报价_当期.xlsx</t>
        </is>
      </c>
    </row>
    <row r="707">
      <c r="A707" s="1" t="inlineStr">
        <is>
          <t>萨瓦纳</t>
        </is>
      </c>
      <c r="B707" s="1" t="inlineStr">
        <is>
          <t>萨瓦纳</t>
        </is>
      </c>
      <c r="C707" s="1" t="inlineStr">
        <is>
          <t>Y-A4SAV</t>
        </is>
      </c>
      <c r="D707" s="1" t="inlineStr">
        <is>
          <t>义乌</t>
        </is>
      </c>
      <c r="E707" s="1" t="inlineStr">
        <is>
          <t>RYY2</t>
        </is>
      </c>
      <c r="F707" s="134" t="n">
        <v>9.880000000000001</v>
      </c>
      <c r="G707" s="1" t="inlineStr">
        <is>
          <t>RMB/KG</t>
        </is>
      </c>
      <c r="H707" s="134" t="n">
        <v>0</v>
      </c>
      <c r="I707" s="1" t="inlineStr">
        <is>
          <t>2026-10-26</t>
        </is>
      </c>
      <c r="J707" s="1" t="inlineStr">
        <is>
          <t>凯琦FBA报价_当期.xlsx</t>
        </is>
      </c>
    </row>
    <row r="708">
      <c r="A708" s="1" t="inlineStr">
        <is>
          <t>萨瓦纳</t>
        </is>
      </c>
      <c r="B708" s="1" t="inlineStr">
        <is>
          <t>萨瓦纳</t>
        </is>
      </c>
      <c r="C708" s="1" t="inlineStr">
        <is>
          <t>Y-A4SAV</t>
        </is>
      </c>
      <c r="D708" s="1" t="inlineStr">
        <is>
          <t>义乌</t>
        </is>
      </c>
      <c r="E708" s="1" t="inlineStr">
        <is>
          <t>CLT3</t>
        </is>
      </c>
      <c r="F708" s="134" t="n">
        <v>9.880000000000001</v>
      </c>
      <c r="G708" s="1" t="inlineStr">
        <is>
          <t>RMB/KG</t>
        </is>
      </c>
      <c r="H708" s="134" t="n">
        <v>0</v>
      </c>
      <c r="I708" s="1" t="inlineStr">
        <is>
          <t>2026-10-26</t>
        </is>
      </c>
      <c r="J708" s="1" t="inlineStr">
        <is>
          <t>凯琦FBA报价_当期.xlsx</t>
        </is>
      </c>
    </row>
    <row r="709">
      <c r="A709" s="1" t="inlineStr">
        <is>
          <t>萨瓦纳</t>
        </is>
      </c>
      <c r="B709" s="1" t="inlineStr">
        <is>
          <t>萨瓦纳</t>
        </is>
      </c>
      <c r="C709" s="1" t="inlineStr">
        <is>
          <t>Y-A4SAV</t>
        </is>
      </c>
      <c r="D709" s="1" t="inlineStr">
        <is>
          <t>义乌</t>
        </is>
      </c>
      <c r="E709" s="1" t="inlineStr">
        <is>
          <t>CLT6</t>
        </is>
      </c>
      <c r="F709" s="134" t="n">
        <v>9.880000000000001</v>
      </c>
      <c r="G709" s="1" t="inlineStr">
        <is>
          <t>RMB/KG</t>
        </is>
      </c>
      <c r="H709" s="134" t="n">
        <v>0</v>
      </c>
      <c r="I709" s="1" t="inlineStr">
        <is>
          <t>2026-10-26</t>
        </is>
      </c>
      <c r="J709" s="1" t="inlineStr">
        <is>
          <t>凯琦FBA报价_当期.xlsx</t>
        </is>
      </c>
    </row>
    <row r="710">
      <c r="A710" s="1" t="inlineStr">
        <is>
          <t>萨瓦纳</t>
        </is>
      </c>
      <c r="B710" s="1" t="inlineStr">
        <is>
          <t>萨瓦纳</t>
        </is>
      </c>
      <c r="C710" s="1" t="inlineStr">
        <is>
          <t>Y-A4SAV</t>
        </is>
      </c>
      <c r="D710" s="1" t="inlineStr">
        <is>
          <t>义乌</t>
        </is>
      </c>
      <c r="E710" s="1" t="inlineStr">
        <is>
          <t>RDU2</t>
        </is>
      </c>
      <c r="F710" s="134" t="n">
        <v>9.880000000000001</v>
      </c>
      <c r="G710" s="1" t="inlineStr">
        <is>
          <t>RMB/KG</t>
        </is>
      </c>
      <c r="H710" s="134" t="n">
        <v>0</v>
      </c>
      <c r="I710" s="1" t="inlineStr">
        <is>
          <t>2026-10-26</t>
        </is>
      </c>
      <c r="J710" s="1" t="inlineStr">
        <is>
          <t>凯琦FBA报价_当期.xlsx</t>
        </is>
      </c>
    </row>
    <row r="711">
      <c r="A711" s="1" t="inlineStr">
        <is>
          <t>萨瓦纳</t>
        </is>
      </c>
      <c r="B711" s="1" t="inlineStr">
        <is>
          <t>萨瓦纳</t>
        </is>
      </c>
      <c r="C711" s="1" t="inlineStr">
        <is>
          <t>Y-A4SAV</t>
        </is>
      </c>
      <c r="D711" s="1" t="inlineStr">
        <is>
          <t>义乌</t>
        </is>
      </c>
      <c r="E711" s="1" t="inlineStr">
        <is>
          <t>IUSR</t>
        </is>
      </c>
      <c r="F711" s="134" t="n">
        <v>10.08</v>
      </c>
      <c r="G711" s="1" t="inlineStr">
        <is>
          <t>RMB/KG</t>
        </is>
      </c>
      <c r="H711" s="134" t="n">
        <v>0</v>
      </c>
      <c r="I711" s="1" t="inlineStr">
        <is>
          <t>2026-10-26</t>
        </is>
      </c>
      <c r="J711" s="1" t="inlineStr">
        <is>
          <t>凯琦FBA报价_当期.xlsx</t>
        </is>
      </c>
    </row>
    <row r="712">
      <c r="A712" s="1" t="inlineStr">
        <is>
          <t>萨瓦纳</t>
        </is>
      </c>
      <c r="B712" s="1" t="inlineStr">
        <is>
          <t>萨瓦纳</t>
        </is>
      </c>
      <c r="C712" s="1" t="inlineStr">
        <is>
          <t>Y-A4SAV</t>
        </is>
      </c>
      <c r="D712" s="1" t="inlineStr">
        <is>
          <t>义乌</t>
        </is>
      </c>
      <c r="E712" s="1" t="inlineStr">
        <is>
          <t>MGE3</t>
        </is>
      </c>
      <c r="F712" s="134" t="n">
        <v>10.08</v>
      </c>
      <c r="G712" s="1" t="inlineStr">
        <is>
          <t>RMB/KG</t>
        </is>
      </c>
      <c r="H712" s="134" t="n">
        <v>0</v>
      </c>
      <c r="I712" s="1" t="inlineStr">
        <is>
          <t>2026-10-26</t>
        </is>
      </c>
      <c r="J712" s="1" t="inlineStr">
        <is>
          <t>凯琦FBA报价_当期.xlsx</t>
        </is>
      </c>
    </row>
    <row r="713">
      <c r="A713" s="1" t="inlineStr">
        <is>
          <t>萨瓦纳</t>
        </is>
      </c>
      <c r="B713" s="1" t="inlineStr">
        <is>
          <t>萨瓦纳</t>
        </is>
      </c>
      <c r="C713" s="1" t="inlineStr">
        <is>
          <t>Y-A4SAV</t>
        </is>
      </c>
      <c r="D713" s="1" t="inlineStr">
        <is>
          <t>义乌</t>
        </is>
      </c>
      <c r="E713" s="1" t="inlineStr">
        <is>
          <t>CLT2</t>
        </is>
      </c>
      <c r="F713" s="134" t="n">
        <v>10.08</v>
      </c>
      <c r="G713" s="1" t="inlineStr">
        <is>
          <t>RMB/KG</t>
        </is>
      </c>
      <c r="H713" s="134" t="n">
        <v>0</v>
      </c>
      <c r="I713" s="1" t="inlineStr">
        <is>
          <t>2026-10-26</t>
        </is>
      </c>
      <c r="J713" s="1" t="inlineStr">
        <is>
          <t>凯琦FBA报价_当期.xlsx</t>
        </is>
      </c>
    </row>
    <row r="714">
      <c r="A714" s="1" t="inlineStr">
        <is>
          <t>萨瓦纳</t>
        </is>
      </c>
      <c r="B714" s="1" t="inlineStr">
        <is>
          <t>萨瓦纳</t>
        </is>
      </c>
      <c r="C714" s="1" t="inlineStr">
        <is>
          <t>Y-A4SAV</t>
        </is>
      </c>
      <c r="D714" s="1" t="inlineStr">
        <is>
          <t>义乌</t>
        </is>
      </c>
      <c r="E714" s="1" t="inlineStr">
        <is>
          <t>MCO2</t>
        </is>
      </c>
      <c r="F714" s="134" t="n">
        <v>10.08</v>
      </c>
      <c r="G714" s="1" t="inlineStr">
        <is>
          <t>RMB/KG</t>
        </is>
      </c>
      <c r="H714" s="134" t="n">
        <v>0</v>
      </c>
      <c r="I714" s="1" t="inlineStr">
        <is>
          <t>2026-10-26</t>
        </is>
      </c>
      <c r="J714" s="1" t="inlineStr">
        <is>
          <t>凯琦FBA报价_当期.xlsx</t>
        </is>
      </c>
    </row>
    <row r="715">
      <c r="A715" s="1" t="inlineStr">
        <is>
          <t>萨瓦纳</t>
        </is>
      </c>
      <c r="B715" s="1" t="inlineStr">
        <is>
          <t>萨瓦纳</t>
        </is>
      </c>
      <c r="C715" s="1" t="inlineStr">
        <is>
          <t>Y-A4SAV</t>
        </is>
      </c>
      <c r="D715" s="1" t="inlineStr">
        <is>
          <t>义乌</t>
        </is>
      </c>
      <c r="E715" s="1" t="inlineStr">
        <is>
          <t>TPA2</t>
        </is>
      </c>
      <c r="F715" s="134" t="n">
        <v>10.08</v>
      </c>
      <c r="G715" s="1" t="inlineStr">
        <is>
          <t>RMB/KG</t>
        </is>
      </c>
      <c r="H715" s="134" t="n">
        <v>0</v>
      </c>
      <c r="I715" s="1" t="inlineStr">
        <is>
          <t>2026-10-26</t>
        </is>
      </c>
      <c r="J715" s="1" t="inlineStr">
        <is>
          <t>凯琦FBA报价_当期.xlsx</t>
        </is>
      </c>
    </row>
    <row r="716">
      <c r="A716" s="1" t="inlineStr">
        <is>
          <t>萨瓦纳</t>
        </is>
      </c>
      <c r="B716" s="1" t="inlineStr">
        <is>
          <t>萨瓦纳</t>
        </is>
      </c>
      <c r="C716" s="1" t="inlineStr">
        <is>
          <t>Y-A4SAV</t>
        </is>
      </c>
      <c r="D716" s="1" t="inlineStr">
        <is>
          <t>义乌</t>
        </is>
      </c>
      <c r="E716" s="1" t="inlineStr">
        <is>
          <t>TPA3</t>
        </is>
      </c>
      <c r="F716" s="134" t="n">
        <v>10.08</v>
      </c>
      <c r="G716" s="1" t="inlineStr">
        <is>
          <t>RMB/KG</t>
        </is>
      </c>
      <c r="H716" s="134" t="n">
        <v>0</v>
      </c>
      <c r="I716" s="1" t="inlineStr">
        <is>
          <t>2026-10-26</t>
        </is>
      </c>
      <c r="J716" s="1" t="inlineStr">
        <is>
          <t>凯琦FBA报价_当期.xlsx</t>
        </is>
      </c>
    </row>
    <row r="717">
      <c r="A717" s="1" t="inlineStr">
        <is>
          <t>萨瓦纳</t>
        </is>
      </c>
      <c r="B717" s="1" t="inlineStr">
        <is>
          <t>萨瓦纳</t>
        </is>
      </c>
      <c r="C717" s="1" t="inlineStr">
        <is>
          <t>Y-A4SAV</t>
        </is>
      </c>
      <c r="D717" s="1" t="inlineStr">
        <is>
          <t>义乌</t>
        </is>
      </c>
      <c r="E717" s="1" t="inlineStr">
        <is>
          <t>PBI2</t>
        </is>
      </c>
      <c r="F717" s="134" t="n">
        <v>10.28</v>
      </c>
      <c r="G717" s="1" t="inlineStr">
        <is>
          <t>RMB/KG</t>
        </is>
      </c>
      <c r="H717" s="134" t="n">
        <v>0</v>
      </c>
      <c r="I717" s="1" t="inlineStr">
        <is>
          <t>2026-10-26</t>
        </is>
      </c>
      <c r="J717" s="1" t="inlineStr">
        <is>
          <t>凯琦FBA报价_当期.xlsx</t>
        </is>
      </c>
    </row>
    <row r="718">
      <c r="A718" s="1" t="inlineStr">
        <is>
          <t>萨瓦纳</t>
        </is>
      </c>
      <c r="B718" s="1" t="inlineStr">
        <is>
          <t>萨瓦纳</t>
        </is>
      </c>
      <c r="C718" s="1" t="inlineStr">
        <is>
          <t>Y-A4SAV</t>
        </is>
      </c>
      <c r="D718" s="1" t="inlineStr">
        <is>
          <t>义乌</t>
        </is>
      </c>
      <c r="E718" s="1" t="inlineStr">
        <is>
          <t>XPB2</t>
        </is>
      </c>
      <c r="F718" s="134" t="n">
        <v>10.28</v>
      </c>
      <c r="G718" s="1" t="inlineStr">
        <is>
          <t>RMB/KG</t>
        </is>
      </c>
      <c r="H718" s="134" t="n">
        <v>0</v>
      </c>
      <c r="I718" s="1" t="inlineStr">
        <is>
          <t>2026-10-26</t>
        </is>
      </c>
      <c r="J718" s="1" t="inlineStr">
        <is>
          <t>凯琦FBA报价_当期.xlsx</t>
        </is>
      </c>
    </row>
    <row r="719">
      <c r="A719" s="1" t="inlineStr">
        <is>
          <t>萨瓦纳</t>
        </is>
      </c>
      <c r="B719" s="1" t="inlineStr">
        <is>
          <t>萨瓦纳</t>
        </is>
      </c>
      <c r="C719" s="1" t="inlineStr">
        <is>
          <t>Y-A4SAV</t>
        </is>
      </c>
      <c r="D719" s="1" t="inlineStr">
        <is>
          <t>义乌</t>
        </is>
      </c>
      <c r="E719" s="1" t="inlineStr">
        <is>
          <t>INC1</t>
        </is>
      </c>
      <c r="F719" s="134" t="n">
        <v>10.28</v>
      </c>
      <c r="G719" s="1" t="inlineStr">
        <is>
          <t>RMB/KG</t>
        </is>
      </c>
      <c r="H719" s="134" t="n">
        <v>0</v>
      </c>
      <c r="I719" s="1" t="inlineStr">
        <is>
          <t>2026-10-26</t>
        </is>
      </c>
      <c r="J719" s="1" t="inlineStr">
        <is>
          <t>凯琦FBA报价_当期.xlsx</t>
        </is>
      </c>
    </row>
    <row r="720">
      <c r="A720" s="1" t="inlineStr">
        <is>
          <t>萨瓦纳</t>
        </is>
      </c>
      <c r="B720" s="1" t="inlineStr">
        <is>
          <t>萨瓦纳</t>
        </is>
      </c>
      <c r="C720" s="1" t="inlineStr">
        <is>
          <t>Y-A4SAV</t>
        </is>
      </c>
      <c r="D720" s="1" t="inlineStr">
        <is>
          <t>义乌</t>
        </is>
      </c>
      <c r="E720" s="1" t="inlineStr">
        <is>
          <t>IMS1</t>
        </is>
      </c>
      <c r="F720" s="134" t="n">
        <v>10.28</v>
      </c>
      <c r="G720" s="1" t="inlineStr">
        <is>
          <t>RMB/KG</t>
        </is>
      </c>
      <c r="H720" s="134" t="n">
        <v>0</v>
      </c>
      <c r="I720" s="1" t="inlineStr">
        <is>
          <t>2026-10-26</t>
        </is>
      </c>
      <c r="J720" s="1" t="inlineStr">
        <is>
          <t>凯琦FBA报价_当期.xlsx</t>
        </is>
      </c>
    </row>
    <row r="721">
      <c r="A721" s="1" t="inlineStr">
        <is>
          <t>萨瓦纳</t>
        </is>
      </c>
      <c r="B721" s="1" t="inlineStr">
        <is>
          <t>萨瓦纳</t>
        </is>
      </c>
      <c r="C721" s="1" t="inlineStr">
        <is>
          <t>Y-A4SAV</t>
        </is>
      </c>
      <c r="D721" s="1" t="inlineStr">
        <is>
          <t>义乌</t>
        </is>
      </c>
      <c r="E721" s="1" t="inlineStr">
        <is>
          <t>IGA3</t>
        </is>
      </c>
      <c r="F721" s="134" t="n">
        <v>10.28</v>
      </c>
      <c r="G721" s="1" t="inlineStr">
        <is>
          <t>RMB/KG</t>
        </is>
      </c>
      <c r="H721" s="134" t="n">
        <v>0</v>
      </c>
      <c r="I721" s="1" t="inlineStr">
        <is>
          <t>2026-10-26</t>
        </is>
      </c>
      <c r="J721" s="1" t="inlineStr">
        <is>
          <t>凯琦FBA报价_当期.xlsx</t>
        </is>
      </c>
    </row>
    <row r="722">
      <c r="A722" s="1" t="inlineStr">
        <is>
          <t>萨瓦纳</t>
        </is>
      </c>
      <c r="B722" s="1" t="inlineStr">
        <is>
          <t>萨瓦纳</t>
        </is>
      </c>
      <c r="C722" s="1" t="inlineStr">
        <is>
          <t>Y-A4SAV</t>
        </is>
      </c>
      <c r="D722" s="1" t="inlineStr">
        <is>
          <t>义乌</t>
        </is>
      </c>
      <c r="E722" s="1" t="inlineStr">
        <is>
          <t>XMI3</t>
        </is>
      </c>
      <c r="F722" s="134" t="n">
        <v>10.28</v>
      </c>
      <c r="G722" s="1" t="inlineStr">
        <is>
          <t>RMB/KG</t>
        </is>
      </c>
      <c r="H722" s="134" t="n">
        <v>0</v>
      </c>
      <c r="I722" s="1" t="inlineStr">
        <is>
          <t>2026-10-26</t>
        </is>
      </c>
      <c r="J722" s="1" t="inlineStr">
        <is>
          <t>凯琦FBA报价_当期.xlsx</t>
        </is>
      </c>
    </row>
    <row r="723">
      <c r="A723" s="1" t="inlineStr">
        <is>
          <t>萨瓦纳</t>
        </is>
      </c>
      <c r="B723" s="1" t="inlineStr">
        <is>
          <t>萨瓦纳</t>
        </is>
      </c>
      <c r="C723" s="1" t="inlineStr">
        <is>
          <t>Y-A4SAV</t>
        </is>
      </c>
      <c r="D723" s="1" t="inlineStr">
        <is>
          <t>义乌</t>
        </is>
      </c>
      <c r="E723" s="1" t="inlineStr">
        <is>
          <t>BNA2</t>
        </is>
      </c>
      <c r="F723" s="134" t="n">
        <v>10.28</v>
      </c>
      <c r="G723" s="1" t="inlineStr">
        <is>
          <t>RMB/KG</t>
        </is>
      </c>
      <c r="H723" s="134" t="n">
        <v>0</v>
      </c>
      <c r="I723" s="1" t="inlineStr">
        <is>
          <t>2026-10-26</t>
        </is>
      </c>
      <c r="J723" s="1" t="inlineStr">
        <is>
          <t>凯琦FBA报价_当期.xlsx</t>
        </is>
      </c>
    </row>
    <row r="724">
      <c r="A724" s="1" t="inlineStr">
        <is>
          <t>萨瓦纳</t>
        </is>
      </c>
      <c r="B724" s="1" t="inlineStr">
        <is>
          <t>萨瓦纳</t>
        </is>
      </c>
      <c r="C724" s="1" t="inlineStr">
        <is>
          <t>Y-A4SAV</t>
        </is>
      </c>
      <c r="D724" s="1" t="inlineStr">
        <is>
          <t>义乌</t>
        </is>
      </c>
      <c r="E724" s="1" t="inlineStr">
        <is>
          <t>BNA6</t>
        </is>
      </c>
      <c r="F724" s="134" t="n">
        <v>10.28</v>
      </c>
      <c r="G724" s="1" t="inlineStr">
        <is>
          <t>RMB/KG</t>
        </is>
      </c>
      <c r="H724" s="134" t="n">
        <v>0</v>
      </c>
      <c r="I724" s="1" t="inlineStr">
        <is>
          <t>2026-10-26</t>
        </is>
      </c>
      <c r="J724" s="1" t="inlineStr">
        <is>
          <t>凯琦FBA报价_当期.xlsx</t>
        </is>
      </c>
    </row>
    <row r="725">
      <c r="A725" s="1" t="inlineStr">
        <is>
          <t>萨瓦纳</t>
        </is>
      </c>
      <c r="B725" s="1" t="inlineStr">
        <is>
          <t>萨瓦纳</t>
        </is>
      </c>
      <c r="C725" s="1" t="inlineStr">
        <is>
          <t>Y-A4SAV</t>
        </is>
      </c>
      <c r="D725" s="1" t="inlineStr">
        <is>
          <t>义乌</t>
        </is>
      </c>
      <c r="E725" s="1" t="inlineStr">
        <is>
          <t>MQY2</t>
        </is>
      </c>
      <c r="F725" s="134" t="n">
        <v>10.28</v>
      </c>
      <c r="G725" s="1" t="inlineStr">
        <is>
          <t>RMB/KG</t>
        </is>
      </c>
      <c r="H725" s="134" t="n">
        <v>0</v>
      </c>
      <c r="I725" s="1" t="inlineStr">
        <is>
          <t>2026-10-26</t>
        </is>
      </c>
      <c r="J725" s="1" t="inlineStr">
        <is>
          <t>凯琦FBA报价_当期.xlsx</t>
        </is>
      </c>
    </row>
    <row r="726">
      <c r="A726" s="1" t="inlineStr">
        <is>
          <t>萨瓦纳</t>
        </is>
      </c>
      <c r="B726" s="1" t="inlineStr">
        <is>
          <t>萨瓦纳</t>
        </is>
      </c>
      <c r="C726" s="1" t="inlineStr">
        <is>
          <t>Y-A4SAV</t>
        </is>
      </c>
      <c r="D726" s="1" t="inlineStr">
        <is>
          <t>义乌</t>
        </is>
      </c>
      <c r="E726" s="1" t="inlineStr">
        <is>
          <t>CHA2</t>
        </is>
      </c>
      <c r="F726" s="134" t="n">
        <v>10.48</v>
      </c>
      <c r="G726" s="1" t="inlineStr">
        <is>
          <t>RMB/KG</t>
        </is>
      </c>
      <c r="H726" s="134" t="n">
        <v>0</v>
      </c>
      <c r="I726" s="1" t="inlineStr">
        <is>
          <t>2026-10-26</t>
        </is>
      </c>
      <c r="J726" s="1" t="inlineStr">
        <is>
          <t>凯琦FBA报价_当期.xlsx</t>
        </is>
      </c>
    </row>
    <row r="727">
      <c r="A727" s="1" t="inlineStr">
        <is>
          <t>萨瓦纳</t>
        </is>
      </c>
      <c r="B727" s="1" t="inlineStr">
        <is>
          <t>萨瓦纳</t>
        </is>
      </c>
      <c r="C727" s="1" t="inlineStr">
        <is>
          <t>Y-A4SAV</t>
        </is>
      </c>
      <c r="D727" s="1" t="inlineStr">
        <is>
          <t>义乌</t>
        </is>
      </c>
      <c r="E727" s="1" t="inlineStr">
        <is>
          <t>HSV1</t>
        </is>
      </c>
      <c r="F727" s="134" t="n">
        <v>10.48</v>
      </c>
      <c r="G727" s="1" t="inlineStr">
        <is>
          <t>RMB/KG</t>
        </is>
      </c>
      <c r="H727" s="134" t="n">
        <v>0</v>
      </c>
      <c r="I727" s="1" t="inlineStr">
        <is>
          <t>2026-10-26</t>
        </is>
      </c>
      <c r="J727" s="1" t="inlineStr">
        <is>
          <t>凯琦FBA报价_当期.xlsx</t>
        </is>
      </c>
    </row>
    <row r="728">
      <c r="A728" s="1" t="inlineStr">
        <is>
          <t>萨瓦纳</t>
        </is>
      </c>
      <c r="B728" s="1" t="inlineStr">
        <is>
          <t>萨瓦纳</t>
        </is>
      </c>
      <c r="C728" s="1" t="inlineStr">
        <is>
          <t>Y-A4SAV</t>
        </is>
      </c>
      <c r="D728" s="1" t="inlineStr">
        <is>
          <t>义乌</t>
        </is>
      </c>
      <c r="E728" s="1" t="inlineStr">
        <is>
          <t>MEM1</t>
        </is>
      </c>
      <c r="F728" s="134" t="n">
        <v>10.48</v>
      </c>
      <c r="G728" s="1" t="inlineStr">
        <is>
          <t>RMB/KG</t>
        </is>
      </c>
      <c r="H728" s="134" t="n">
        <v>0</v>
      </c>
      <c r="I728" s="1" t="inlineStr">
        <is>
          <t>2026-10-26</t>
        </is>
      </c>
      <c r="J728" s="1" t="inlineStr">
        <is>
          <t>凯琦FBA报价_当期.xlsx</t>
        </is>
      </c>
    </row>
    <row r="729">
      <c r="A729" s="1" t="inlineStr">
        <is>
          <t>美西海派</t>
        </is>
      </c>
      <c r="B729" s="1" t="inlineStr">
        <is>
          <t>美西海派</t>
        </is>
      </c>
      <c r="C729" s="1" t="inlineStr">
        <is>
          <t>Y-911海派</t>
        </is>
      </c>
      <c r="D729" s="1" t="inlineStr">
        <is>
          <t>义乌</t>
        </is>
      </c>
      <c r="E729" s="1" t="inlineStr">
        <is>
          <t>美国西岸北（邮编97.98.99开头）</t>
        </is>
      </c>
      <c r="F729" s="134" t="n">
        <v>17.88</v>
      </c>
      <c r="G729" s="1" t="inlineStr">
        <is>
          <t>RMB/KG</t>
        </is>
      </c>
      <c r="H729" s="134" t="n">
        <v>0</v>
      </c>
      <c r="I729" s="1" t="inlineStr">
        <is>
          <t>2026-10-26</t>
        </is>
      </c>
      <c r="J729" s="1" t="inlineStr">
        <is>
          <t>凯琦FBA报价_当期.xlsx</t>
        </is>
      </c>
    </row>
    <row r="730">
      <c r="A730" s="1" t="inlineStr">
        <is>
          <t>美西海派</t>
        </is>
      </c>
      <c r="B730" s="1" t="inlineStr">
        <is>
          <t>美西海派</t>
        </is>
      </c>
      <c r="C730" s="1" t="inlineStr">
        <is>
          <t>Y-911海派</t>
        </is>
      </c>
      <c r="D730" s="1" t="inlineStr">
        <is>
          <t>义乌</t>
        </is>
      </c>
      <c r="E730" s="1" t="inlineStr">
        <is>
          <t>美国中部(邮编5.6.7开头)</t>
        </is>
      </c>
      <c r="F730" s="134" t="n">
        <v>19.38</v>
      </c>
      <c r="G730" s="1" t="inlineStr">
        <is>
          <t>RMB/KG</t>
        </is>
      </c>
      <c r="H730" s="134" t="n">
        <v>0</v>
      </c>
      <c r="I730" s="1" t="inlineStr">
        <is>
          <t>2026-10-26</t>
        </is>
      </c>
      <c r="J730" s="1" t="inlineStr">
        <is>
          <t>凯琦FBA报价_当期.xlsx</t>
        </is>
      </c>
    </row>
    <row r="731">
      <c r="A731" s="1" t="inlineStr">
        <is>
          <t>美西海派</t>
        </is>
      </c>
      <c r="B731" s="1" t="inlineStr">
        <is>
          <t>美西海派</t>
        </is>
      </c>
      <c r="C731" s="1" t="inlineStr">
        <is>
          <t>Y-911海派</t>
        </is>
      </c>
      <c r="D731" s="1" t="inlineStr">
        <is>
          <t>义乌</t>
        </is>
      </c>
      <c r="E731" s="1" t="inlineStr">
        <is>
          <t>美国东岸(邮编0.1.2.3.4开头)</t>
        </is>
      </c>
      <c r="F731" s="134" t="n">
        <v>20.88</v>
      </c>
      <c r="G731" s="1" t="inlineStr">
        <is>
          <t>RMB/KG</t>
        </is>
      </c>
      <c r="H731" s="134" t="n">
        <v>0</v>
      </c>
      <c r="I731" s="1" t="inlineStr">
        <is>
          <t>2026-10-26</t>
        </is>
      </c>
      <c r="J731" s="1" t="inlineStr">
        <is>
          <t>凯琦FBA报价_当期.xlsx</t>
        </is>
      </c>
    </row>
    <row r="732">
      <c r="A732" s="1" t="inlineStr">
        <is>
          <t>美西海派</t>
        </is>
      </c>
      <c r="B732" s="1" t="inlineStr">
        <is>
          <t>美西海派</t>
        </is>
      </c>
      <c r="C732" s="1" t="inlineStr">
        <is>
          <t>Y-琦速达海派</t>
        </is>
      </c>
      <c r="D732" s="1" t="inlineStr">
        <is>
          <t>义乌</t>
        </is>
      </c>
      <c r="E732" s="1" t="inlineStr">
        <is>
          <t>美国西岸北（邮编97.98.99开头）</t>
        </is>
      </c>
      <c r="F732" s="134" t="n">
        <v>16.08</v>
      </c>
      <c r="G732" s="1" t="inlineStr">
        <is>
          <t>RMB/KG</t>
        </is>
      </c>
      <c r="H732" s="134" t="n">
        <v>0</v>
      </c>
      <c r="I732" s="1" t="inlineStr">
        <is>
          <t>2026-10-26</t>
        </is>
      </c>
      <c r="J732" s="1" t="inlineStr">
        <is>
          <t>凯琦FBA报价_当期.xlsx</t>
        </is>
      </c>
    </row>
    <row r="733">
      <c r="A733" s="1" t="inlineStr">
        <is>
          <t>美西海派</t>
        </is>
      </c>
      <c r="B733" s="1" t="inlineStr">
        <is>
          <t>美西海派</t>
        </is>
      </c>
      <c r="C733" s="1" t="inlineStr">
        <is>
          <t>Y-琦速达海派</t>
        </is>
      </c>
      <c r="D733" s="1" t="inlineStr">
        <is>
          <t>义乌</t>
        </is>
      </c>
      <c r="E733" s="1" t="inlineStr">
        <is>
          <t>美国中部(邮编5.6.7开头)</t>
        </is>
      </c>
      <c r="F733" s="134" t="n">
        <v>17.58</v>
      </c>
      <c r="G733" s="1" t="inlineStr">
        <is>
          <t>RMB/KG</t>
        </is>
      </c>
      <c r="H733" s="134" t="n">
        <v>0</v>
      </c>
      <c r="I733" s="1" t="inlineStr">
        <is>
          <t>2026-10-26</t>
        </is>
      </c>
      <c r="J733" s="1" t="inlineStr">
        <is>
          <t>凯琦FBA报价_当期.xlsx</t>
        </is>
      </c>
    </row>
    <row r="734">
      <c r="A734" s="1" t="inlineStr">
        <is>
          <t>美西海派</t>
        </is>
      </c>
      <c r="B734" s="1" t="inlineStr">
        <is>
          <t>美西海派</t>
        </is>
      </c>
      <c r="C734" s="1" t="inlineStr">
        <is>
          <t>Y-琦速达海派</t>
        </is>
      </c>
      <c r="D734" s="1" t="inlineStr">
        <is>
          <t>义乌</t>
        </is>
      </c>
      <c r="E734" s="1" t="inlineStr">
        <is>
          <t>美国东岸(邮编0.1.2.3.4开头)</t>
        </is>
      </c>
      <c r="F734" s="134" t="n">
        <v>19.08</v>
      </c>
      <c r="G734" s="1" t="inlineStr">
        <is>
          <t>RMB/KG</t>
        </is>
      </c>
      <c r="H734" s="134" t="n">
        <v>0</v>
      </c>
      <c r="I734" s="1" t="inlineStr">
        <is>
          <t>2026-10-26</t>
        </is>
      </c>
      <c r="J734" s="1" t="inlineStr">
        <is>
          <t>凯琦FBA报价_当期.xlsx</t>
        </is>
      </c>
    </row>
    <row r="735">
      <c r="A735" s="1" t="inlineStr">
        <is>
          <t>美西海派</t>
        </is>
      </c>
      <c r="B735" s="1" t="inlineStr">
        <is>
          <t>美西海派</t>
        </is>
      </c>
      <c r="C735" s="1" t="inlineStr">
        <is>
          <t>Y-快速达海派</t>
        </is>
      </c>
      <c r="D735" s="1" t="inlineStr">
        <is>
          <t>义乌</t>
        </is>
      </c>
      <c r="E735" s="1" t="inlineStr">
        <is>
          <t>美国西岸北（邮编97.98.99开头）</t>
        </is>
      </c>
      <c r="F735" s="134" t="n">
        <v>15.38</v>
      </c>
      <c r="G735" s="1" t="inlineStr">
        <is>
          <t>RMB/KG</t>
        </is>
      </c>
      <c r="H735" s="134" t="n">
        <v>0</v>
      </c>
      <c r="I735" s="1" t="inlineStr">
        <is>
          <t>2026-10-26</t>
        </is>
      </c>
      <c r="J735" s="1" t="inlineStr">
        <is>
          <t>凯琦FBA报价_当期.xlsx</t>
        </is>
      </c>
    </row>
    <row r="736">
      <c r="A736" s="1" t="inlineStr">
        <is>
          <t>美西海派</t>
        </is>
      </c>
      <c r="B736" s="1" t="inlineStr">
        <is>
          <t>美西海派</t>
        </is>
      </c>
      <c r="C736" s="1" t="inlineStr">
        <is>
          <t>Y-快速达海派</t>
        </is>
      </c>
      <c r="D736" s="1" t="inlineStr">
        <is>
          <t>义乌</t>
        </is>
      </c>
      <c r="E736" s="1" t="inlineStr">
        <is>
          <t>美国中部(邮编5.6.7开头)</t>
        </is>
      </c>
      <c r="F736" s="134" t="n">
        <v>16.88</v>
      </c>
      <c r="G736" s="1" t="inlineStr">
        <is>
          <t>RMB/KG</t>
        </is>
      </c>
      <c r="H736" s="134" t="n">
        <v>0</v>
      </c>
      <c r="I736" s="1" t="inlineStr">
        <is>
          <t>2026-10-26</t>
        </is>
      </c>
      <c r="J736" s="1" t="inlineStr">
        <is>
          <t>凯琦FBA报价_当期.xlsx</t>
        </is>
      </c>
    </row>
    <row r="737">
      <c r="A737" s="1" t="inlineStr">
        <is>
          <t>美西海派</t>
        </is>
      </c>
      <c r="B737" s="1" t="inlineStr">
        <is>
          <t>美西海派</t>
        </is>
      </c>
      <c r="C737" s="1" t="inlineStr">
        <is>
          <t>Y-快速达海派</t>
        </is>
      </c>
      <c r="D737" s="1" t="inlineStr">
        <is>
          <t>义乌</t>
        </is>
      </c>
      <c r="E737" s="1" t="inlineStr">
        <is>
          <t>美国东岸(邮编0.1.2.3.4开头)</t>
        </is>
      </c>
      <c r="F737" s="134" t="n">
        <v>18.38</v>
      </c>
      <c r="G737" s="1" t="inlineStr">
        <is>
          <t>RMB/KG</t>
        </is>
      </c>
      <c r="H737" s="134" t="n">
        <v>0</v>
      </c>
      <c r="I737" s="1" t="inlineStr">
        <is>
          <t>2026-10-26</t>
        </is>
      </c>
      <c r="J737" s="1" t="inlineStr">
        <is>
          <t>凯琦FBA报价_当期.xlsx</t>
        </is>
      </c>
    </row>
    <row r="738">
      <c r="A738" s="1" t="inlineStr">
        <is>
          <t>美西海派</t>
        </is>
      </c>
      <c r="B738" s="1" t="inlineStr">
        <is>
          <t>美西海派</t>
        </is>
      </c>
      <c r="C738" s="1" t="inlineStr">
        <is>
          <t>Y-718海派</t>
        </is>
      </c>
      <c r="D738" s="1" t="inlineStr">
        <is>
          <t>义乌</t>
        </is>
      </c>
      <c r="E738" s="1" t="inlineStr">
        <is>
          <t>美国西岸北（邮编97.98.99开头）</t>
        </is>
      </c>
      <c r="F738" s="134" t="n">
        <v>13.18</v>
      </c>
      <c r="G738" s="1" t="inlineStr">
        <is>
          <t>RMB/KG</t>
        </is>
      </c>
      <c r="H738" s="134" t="n">
        <v>0</v>
      </c>
      <c r="I738" s="1" t="inlineStr">
        <is>
          <t>2026-10-26</t>
        </is>
      </c>
      <c r="J738" s="1" t="inlineStr">
        <is>
          <t>凯琦FBA报价_当期.xlsx</t>
        </is>
      </c>
    </row>
    <row r="739">
      <c r="A739" s="1" t="inlineStr">
        <is>
          <t>美西海派</t>
        </is>
      </c>
      <c r="B739" s="1" t="inlineStr">
        <is>
          <t>美西海派</t>
        </is>
      </c>
      <c r="C739" s="1" t="inlineStr">
        <is>
          <t>Y-718海派</t>
        </is>
      </c>
      <c r="D739" s="1" t="inlineStr">
        <is>
          <t>义乌</t>
        </is>
      </c>
      <c r="E739" s="1" t="inlineStr">
        <is>
          <t>美国中部(邮编5.6.7开头)</t>
        </is>
      </c>
      <c r="F739" s="134" t="n">
        <v>14.68</v>
      </c>
      <c r="G739" s="1" t="inlineStr">
        <is>
          <t>RMB/KG</t>
        </is>
      </c>
      <c r="H739" s="134" t="n">
        <v>0</v>
      </c>
      <c r="I739" s="1" t="inlineStr">
        <is>
          <t>2026-10-26</t>
        </is>
      </c>
      <c r="J739" s="1" t="inlineStr">
        <is>
          <t>凯琦FBA报价_当期.xlsx</t>
        </is>
      </c>
    </row>
    <row r="740">
      <c r="A740" s="1" t="inlineStr">
        <is>
          <t>美西海派</t>
        </is>
      </c>
      <c r="B740" s="1" t="inlineStr">
        <is>
          <t>美西海派</t>
        </is>
      </c>
      <c r="C740" s="1" t="inlineStr">
        <is>
          <t>Y-718海派</t>
        </is>
      </c>
      <c r="D740" s="1" t="inlineStr">
        <is>
          <t>义乌</t>
        </is>
      </c>
      <c r="E740" s="1" t="inlineStr">
        <is>
          <t>美国东岸(邮编0.1.2.3.4开头)</t>
        </is>
      </c>
      <c r="F740" s="134" t="n">
        <v>16.18</v>
      </c>
      <c r="G740" s="1" t="inlineStr">
        <is>
          <t>RMB/KG</t>
        </is>
      </c>
      <c r="H740" s="134" t="n">
        <v>0</v>
      </c>
      <c r="I740" s="1" t="inlineStr">
        <is>
          <t>2026-10-26</t>
        </is>
      </c>
      <c r="J740" s="1" t="inlineStr">
        <is>
          <t>凯琦FBA报价_当期.xlsx</t>
        </is>
      </c>
    </row>
    <row r="741">
      <c r="A741" s="1" t="inlineStr">
        <is>
          <t>美西海派</t>
        </is>
      </c>
      <c r="B741" s="1" t="inlineStr">
        <is>
          <t>美西海派</t>
        </is>
      </c>
      <c r="C741" s="1" t="inlineStr">
        <is>
          <t>718海派</t>
        </is>
      </c>
      <c r="D741" s="1" t="inlineStr">
        <is>
          <t>青岛</t>
        </is>
      </c>
      <c r="E741" s="1" t="inlineStr">
        <is>
          <t>美国西岸北（邮编97.98.99开头）</t>
        </is>
      </c>
      <c r="F741" s="134" t="n">
        <v>13.18</v>
      </c>
      <c r="G741" s="1" t="inlineStr">
        <is>
          <t>RMB/KG</t>
        </is>
      </c>
      <c r="H741" s="134" t="n">
        <v>0</v>
      </c>
      <c r="I741" s="1" t="inlineStr">
        <is>
          <t>2026-10-26</t>
        </is>
      </c>
      <c r="J741" s="1" t="inlineStr">
        <is>
          <t>凯琦FBA报价_当期.xlsx</t>
        </is>
      </c>
    </row>
    <row r="742">
      <c r="A742" s="1" t="inlineStr">
        <is>
          <t>美西海派</t>
        </is>
      </c>
      <c r="B742" s="1" t="inlineStr">
        <is>
          <t>美西海派</t>
        </is>
      </c>
      <c r="C742" s="1" t="inlineStr">
        <is>
          <t>718海派</t>
        </is>
      </c>
      <c r="D742" s="1" t="inlineStr">
        <is>
          <t>青岛</t>
        </is>
      </c>
      <c r="E742" s="1" t="inlineStr">
        <is>
          <t>美国中部(邮编5.6.7开头)</t>
        </is>
      </c>
      <c r="F742" s="134" t="n">
        <v>14.68</v>
      </c>
      <c r="G742" s="1" t="inlineStr">
        <is>
          <t>RMB/KG</t>
        </is>
      </c>
      <c r="H742" s="134" t="n">
        <v>0</v>
      </c>
      <c r="I742" s="1" t="inlineStr">
        <is>
          <t>2026-10-26</t>
        </is>
      </c>
      <c r="J742" s="1" t="inlineStr">
        <is>
          <t>凯琦FBA报价_当期.xlsx</t>
        </is>
      </c>
    </row>
    <row r="743">
      <c r="A743" s="1" t="inlineStr">
        <is>
          <t>美西海派</t>
        </is>
      </c>
      <c r="B743" s="1" t="inlineStr">
        <is>
          <t>美西海派</t>
        </is>
      </c>
      <c r="C743" s="1" t="inlineStr">
        <is>
          <t>718海派</t>
        </is>
      </c>
      <c r="D743" s="1" t="inlineStr">
        <is>
          <t>青岛</t>
        </is>
      </c>
      <c r="E743" s="1" t="inlineStr">
        <is>
          <t>美国东岸(邮编0.1.2.3.4开头)</t>
        </is>
      </c>
      <c r="F743" s="134" t="n">
        <v>16.18</v>
      </c>
      <c r="G743" s="1" t="inlineStr">
        <is>
          <t>RMB/KG</t>
        </is>
      </c>
      <c r="H743" s="134" t="n">
        <v>0</v>
      </c>
      <c r="I743" s="1" t="inlineStr">
        <is>
          <t>2026-10-26</t>
        </is>
      </c>
      <c r="J743" s="1" t="inlineStr">
        <is>
          <t>凯琦FBA报价_当期.xlsx</t>
        </is>
      </c>
    </row>
    <row r="744">
      <c r="A744" s="1" t="inlineStr">
        <is>
          <t>加拿大</t>
        </is>
      </c>
      <c r="B744" s="1" t="inlineStr">
        <is>
          <t>加拿大-多伦多</t>
        </is>
      </c>
      <c r="C744" s="1" t="inlineStr">
        <is>
          <t>Y-X1-专线(多伦多)</t>
        </is>
      </c>
      <c r="D744" s="1" t="inlineStr">
        <is>
          <t>义乌</t>
        </is>
      </c>
      <c r="E744" s="1" t="inlineStr">
        <is>
          <t>YYZ3</t>
        </is>
      </c>
      <c r="F744" s="134" t="n">
        <v>8.98</v>
      </c>
      <c r="G744" s="1" t="inlineStr">
        <is>
          <t>RMB/KG</t>
        </is>
      </c>
      <c r="H744" s="134" t="n">
        <v>1</v>
      </c>
      <c r="I744" s="1" t="inlineStr">
        <is>
          <t>2026-10-26</t>
        </is>
      </c>
      <c r="J744" s="1" t="inlineStr">
        <is>
          <t>凯琦FBA报价_当期.xlsx</t>
        </is>
      </c>
    </row>
    <row r="745">
      <c r="A745" s="1" t="inlineStr">
        <is>
          <t>加拿大</t>
        </is>
      </c>
      <c r="B745" s="1" t="inlineStr">
        <is>
          <t>加拿大-多伦多</t>
        </is>
      </c>
      <c r="C745" s="1" t="inlineStr">
        <is>
          <t>Y-X1-专线(多伦多)</t>
        </is>
      </c>
      <c r="D745" s="1" t="inlineStr">
        <is>
          <t>义乌</t>
        </is>
      </c>
      <c r="E745" s="1" t="inlineStr">
        <is>
          <t>YYZ4</t>
        </is>
      </c>
      <c r="F745" s="134" t="n">
        <v>8.98</v>
      </c>
      <c r="G745" s="1" t="inlineStr">
        <is>
          <t>RMB/KG</t>
        </is>
      </c>
      <c r="H745" s="134" t="n">
        <v>1</v>
      </c>
      <c r="I745" s="1" t="inlineStr">
        <is>
          <t>2026-10-26</t>
        </is>
      </c>
      <c r="J745" s="1" t="inlineStr">
        <is>
          <t>凯琦FBA报价_当期.xlsx</t>
        </is>
      </c>
    </row>
    <row r="746">
      <c r="A746" s="1" t="inlineStr">
        <is>
          <t>加拿大</t>
        </is>
      </c>
      <c r="B746" s="1" t="inlineStr">
        <is>
          <t>加拿大-多伦多</t>
        </is>
      </c>
      <c r="C746" s="1" t="inlineStr">
        <is>
          <t>Y-X1-专线(多伦多)</t>
        </is>
      </c>
      <c r="D746" s="1" t="inlineStr">
        <is>
          <t>义乌</t>
        </is>
      </c>
      <c r="E746" s="1" t="inlineStr">
        <is>
          <t>YYZ1</t>
        </is>
      </c>
      <c r="F746" s="134" t="n">
        <v>8.98</v>
      </c>
      <c r="G746" s="1" t="inlineStr">
        <is>
          <t>RMB/KG</t>
        </is>
      </c>
      <c r="H746" s="134" t="n">
        <v>1</v>
      </c>
      <c r="I746" s="1" t="inlineStr">
        <is>
          <t>2026-10-26</t>
        </is>
      </c>
      <c r="J746" s="1" t="inlineStr">
        <is>
          <t>凯琦FBA报价_当期.xlsx</t>
        </is>
      </c>
    </row>
    <row r="747">
      <c r="A747" s="1" t="inlineStr">
        <is>
          <t>加拿大</t>
        </is>
      </c>
      <c r="B747" s="1" t="inlineStr">
        <is>
          <t>加拿大-多伦多</t>
        </is>
      </c>
      <c r="C747" s="1" t="inlineStr">
        <is>
          <t>Y-X1-专线(多伦多)</t>
        </is>
      </c>
      <c r="D747" s="1" t="inlineStr">
        <is>
          <t>义乌</t>
        </is>
      </c>
      <c r="E747" s="1" t="inlineStr">
        <is>
          <t>YYZ6</t>
        </is>
      </c>
      <c r="F747" s="134" t="n">
        <v>8.98</v>
      </c>
      <c r="G747" s="1" t="inlineStr">
        <is>
          <t>RMB/KG</t>
        </is>
      </c>
      <c r="H747" s="134" t="n">
        <v>1</v>
      </c>
      <c r="I747" s="1" t="inlineStr">
        <is>
          <t>2026-10-26</t>
        </is>
      </c>
      <c r="J747" s="1" t="inlineStr">
        <is>
          <t>凯琦FBA报价_当期.xlsx</t>
        </is>
      </c>
    </row>
    <row r="748">
      <c r="A748" s="1" t="inlineStr">
        <is>
          <t>加拿大</t>
        </is>
      </c>
      <c r="B748" s="1" t="inlineStr">
        <is>
          <t>加拿大-多伦多</t>
        </is>
      </c>
      <c r="C748" s="1" t="inlineStr">
        <is>
          <t>Y-X1-专线(多伦多)</t>
        </is>
      </c>
      <c r="D748" s="1" t="inlineStr">
        <is>
          <t>义乌</t>
        </is>
      </c>
      <c r="E748" s="1" t="inlineStr">
        <is>
          <t>YYZ7</t>
        </is>
      </c>
      <c r="F748" s="134" t="n">
        <v>8.98</v>
      </c>
      <c r="G748" s="1" t="inlineStr">
        <is>
          <t>RMB/KG</t>
        </is>
      </c>
      <c r="H748" s="134" t="n">
        <v>1</v>
      </c>
      <c r="I748" s="1" t="inlineStr">
        <is>
          <t>2026-10-26</t>
        </is>
      </c>
      <c r="J748" s="1" t="inlineStr">
        <is>
          <t>凯琦FBA报价_当期.xlsx</t>
        </is>
      </c>
    </row>
    <row r="749">
      <c r="A749" s="1" t="inlineStr">
        <is>
          <t>加拿大</t>
        </is>
      </c>
      <c r="B749" s="1" t="inlineStr">
        <is>
          <t>加拿大-多伦多</t>
        </is>
      </c>
      <c r="C749" s="1" t="inlineStr">
        <is>
          <t>Y-X1-专线(多伦多)</t>
        </is>
      </c>
      <c r="D749" s="1" t="inlineStr">
        <is>
          <t>义乌</t>
        </is>
      </c>
      <c r="E749" s="1" t="inlineStr">
        <is>
          <t>YYZ9</t>
        </is>
      </c>
      <c r="F749" s="134" t="n">
        <v>8.98</v>
      </c>
      <c r="G749" s="1" t="inlineStr">
        <is>
          <t>RMB/KG</t>
        </is>
      </c>
      <c r="H749" s="134" t="n">
        <v>1</v>
      </c>
      <c r="I749" s="1" t="inlineStr">
        <is>
          <t>2026-10-26</t>
        </is>
      </c>
      <c r="J749" s="1" t="inlineStr">
        <is>
          <t>凯琦FBA报价_当期.xlsx</t>
        </is>
      </c>
    </row>
    <row r="750">
      <c r="A750" s="1" t="inlineStr">
        <is>
          <t>加拿大</t>
        </is>
      </c>
      <c r="B750" s="1" t="inlineStr">
        <is>
          <t>加拿大-多伦多</t>
        </is>
      </c>
      <c r="C750" s="1" t="inlineStr">
        <is>
          <t>Y-X1-专线(多伦多)</t>
        </is>
      </c>
      <c r="D750" s="1" t="inlineStr">
        <is>
          <t>义乌</t>
        </is>
      </c>
      <c r="E750" s="1" t="inlineStr">
        <is>
          <t>YOO1</t>
        </is>
      </c>
      <c r="F750" s="134" t="n">
        <v>9.279999999999999</v>
      </c>
      <c r="G750" s="1" t="inlineStr">
        <is>
          <t>RMB/KG</t>
        </is>
      </c>
      <c r="H750" s="134" t="n">
        <v>1</v>
      </c>
      <c r="I750" s="1" t="inlineStr">
        <is>
          <t>2026-10-26</t>
        </is>
      </c>
      <c r="J750" s="1" t="inlineStr">
        <is>
          <t>凯琦FBA报价_当期.xlsx</t>
        </is>
      </c>
    </row>
    <row r="751">
      <c r="A751" s="1" t="inlineStr">
        <is>
          <t>加拿大</t>
        </is>
      </c>
      <c r="B751" s="1" t="inlineStr">
        <is>
          <t>加拿大-多伦多</t>
        </is>
      </c>
      <c r="C751" s="1" t="inlineStr">
        <is>
          <t>Y-X1-专线(多伦多)</t>
        </is>
      </c>
      <c r="D751" s="1" t="inlineStr">
        <is>
          <t>义乌</t>
        </is>
      </c>
      <c r="E751" s="1" t="inlineStr">
        <is>
          <t>YHM1</t>
        </is>
      </c>
      <c r="F751" s="134" t="n">
        <v>9.279999999999999</v>
      </c>
      <c r="G751" s="1" t="inlineStr">
        <is>
          <t>RMB/KG</t>
        </is>
      </c>
      <c r="H751" s="134" t="n">
        <v>1</v>
      </c>
      <c r="I751" s="1" t="inlineStr">
        <is>
          <t>2026-10-26</t>
        </is>
      </c>
      <c r="J751" s="1" t="inlineStr">
        <is>
          <t>凯琦FBA报价_当期.xlsx</t>
        </is>
      </c>
    </row>
    <row r="752">
      <c r="A752" s="1" t="inlineStr">
        <is>
          <t>加拿大</t>
        </is>
      </c>
      <c r="B752" s="1" t="inlineStr">
        <is>
          <t>加拿大-多伦多</t>
        </is>
      </c>
      <c r="C752" s="1" t="inlineStr">
        <is>
          <t>Y-X1-专线(多伦多)</t>
        </is>
      </c>
      <c r="D752" s="1" t="inlineStr">
        <is>
          <t>义乌</t>
        </is>
      </c>
      <c r="E752" s="1" t="inlineStr">
        <is>
          <t>YXU1</t>
        </is>
      </c>
      <c r="F752" s="134" t="n">
        <v>9.279999999999999</v>
      </c>
      <c r="G752" s="1" t="inlineStr">
        <is>
          <t>RMB/KG</t>
        </is>
      </c>
      <c r="H752" s="134" t="n">
        <v>1</v>
      </c>
      <c r="I752" s="1" t="inlineStr">
        <is>
          <t>2026-10-26</t>
        </is>
      </c>
      <c r="J752" s="1" t="inlineStr">
        <is>
          <t>凯琦FBA报价_当期.xlsx</t>
        </is>
      </c>
    </row>
    <row r="753">
      <c r="A753" s="1" t="inlineStr">
        <is>
          <t>加拿大</t>
        </is>
      </c>
      <c r="B753" s="1" t="inlineStr">
        <is>
          <t>加拿大-多伦多</t>
        </is>
      </c>
      <c r="C753" s="1" t="inlineStr">
        <is>
          <t>Y-X1-专线(多伦多)</t>
        </is>
      </c>
      <c r="D753" s="1" t="inlineStr">
        <is>
          <t>义乌</t>
        </is>
      </c>
      <c r="E753" s="1" t="inlineStr">
        <is>
          <t>XYY1</t>
        </is>
      </c>
      <c r="F753" s="134" t="n">
        <v>9.279999999999999</v>
      </c>
      <c r="G753" s="1" t="inlineStr">
        <is>
          <t>RMB/KG</t>
        </is>
      </c>
      <c r="H753" s="134" t="n">
        <v>1</v>
      </c>
      <c r="I753" s="1" t="inlineStr">
        <is>
          <t>2026-10-26</t>
        </is>
      </c>
      <c r="J753" s="1" t="inlineStr">
        <is>
          <t>凯琦FBA报价_当期.xlsx</t>
        </is>
      </c>
    </row>
    <row r="754">
      <c r="A754" s="1" t="inlineStr">
        <is>
          <t>加拿大</t>
        </is>
      </c>
      <c r="B754" s="1" t="inlineStr">
        <is>
          <t>加拿大-多伦多</t>
        </is>
      </c>
      <c r="C754" s="1" t="inlineStr">
        <is>
          <t>Y-X1-专线(多伦多)</t>
        </is>
      </c>
      <c r="D754" s="1" t="inlineStr">
        <is>
          <t>义乌</t>
        </is>
      </c>
      <c r="E754" s="1" t="inlineStr">
        <is>
          <t>XYY4</t>
        </is>
      </c>
      <c r="F754" s="134" t="n">
        <v>9.279999999999999</v>
      </c>
      <c r="G754" s="1" t="inlineStr">
        <is>
          <t>RMB/KG</t>
        </is>
      </c>
      <c r="H754" s="134" t="n">
        <v>1</v>
      </c>
      <c r="I754" s="1" t="inlineStr">
        <is>
          <t>2026-10-26</t>
        </is>
      </c>
      <c r="J754" s="1" t="inlineStr">
        <is>
          <t>凯琦FBA报价_当期.xlsx</t>
        </is>
      </c>
    </row>
    <row r="755">
      <c r="A755" s="1" t="inlineStr">
        <is>
          <t>加拿大</t>
        </is>
      </c>
      <c r="B755" s="1" t="inlineStr">
        <is>
          <t>加拿大-多伦多</t>
        </is>
      </c>
      <c r="C755" s="1" t="inlineStr">
        <is>
          <t>Y-X1-专线(多伦多)</t>
        </is>
      </c>
      <c r="D755" s="1" t="inlineStr">
        <is>
          <t>义乌</t>
        </is>
      </c>
      <c r="E755" s="1" t="inlineStr">
        <is>
          <t>YOW1</t>
        </is>
      </c>
      <c r="F755" s="134" t="n">
        <v>9.48</v>
      </c>
      <c r="G755" s="1" t="inlineStr">
        <is>
          <t>RMB/KG</t>
        </is>
      </c>
      <c r="H755" s="134" t="n">
        <v>1</v>
      </c>
      <c r="I755" s="1" t="inlineStr">
        <is>
          <t>2026-10-26</t>
        </is>
      </c>
      <c r="J755" s="1" t="inlineStr">
        <is>
          <t>凯琦FBA报价_当期.xlsx</t>
        </is>
      </c>
    </row>
    <row r="756">
      <c r="A756" s="1" t="inlineStr">
        <is>
          <t>加拿大</t>
        </is>
      </c>
      <c r="B756" s="1" t="inlineStr">
        <is>
          <t>加拿大-多伦多</t>
        </is>
      </c>
      <c r="C756" s="1" t="inlineStr">
        <is>
          <t>Y-X1-专线(多伦多)</t>
        </is>
      </c>
      <c r="D756" s="1" t="inlineStr">
        <is>
          <t>义乌</t>
        </is>
      </c>
      <c r="E756" s="1" t="inlineStr">
        <is>
          <t>YOW3</t>
        </is>
      </c>
      <c r="F756" s="134" t="n">
        <v>9.48</v>
      </c>
      <c r="G756" s="1" t="inlineStr">
        <is>
          <t>RMB/KG</t>
        </is>
      </c>
      <c r="H756" s="134" t="n">
        <v>1</v>
      </c>
      <c r="I756" s="1" t="inlineStr">
        <is>
          <t>2026-10-26</t>
        </is>
      </c>
      <c r="J756" s="1" t="inlineStr">
        <is>
          <t>凯琦FBA报价_当期.xlsx</t>
        </is>
      </c>
    </row>
    <row r="757">
      <c r="A757" s="1" t="inlineStr">
        <is>
          <t>加拿大</t>
        </is>
      </c>
      <c r="B757" s="1" t="inlineStr">
        <is>
          <t>加拿大-多伦多</t>
        </is>
      </c>
      <c r="C757" s="1" t="inlineStr">
        <is>
          <t>Y-X1-专线(多伦多)</t>
        </is>
      </c>
      <c r="D757" s="1" t="inlineStr">
        <is>
          <t>义乌</t>
        </is>
      </c>
      <c r="E757" s="1" t="inlineStr">
        <is>
          <t>YGK1</t>
        </is>
      </c>
      <c r="F757" s="134" t="n">
        <v>9.48</v>
      </c>
      <c r="G757" s="1" t="inlineStr">
        <is>
          <t>RMB/KG</t>
        </is>
      </c>
      <c r="H757" s="134" t="n">
        <v>1</v>
      </c>
      <c r="I757" s="1" t="inlineStr">
        <is>
          <t>2026-10-26</t>
        </is>
      </c>
      <c r="J757" s="1" t="inlineStr">
        <is>
          <t>凯琦FBA报价_当期.xlsx</t>
        </is>
      </c>
    </row>
    <row r="758">
      <c r="A758" s="1" t="inlineStr">
        <is>
          <t>加拿大</t>
        </is>
      </c>
      <c r="B758" s="1" t="inlineStr">
        <is>
          <t>加拿大-多伦多</t>
        </is>
      </c>
      <c r="C758" s="1" t="inlineStr">
        <is>
          <t>Y-X1-专线(多伦多)</t>
        </is>
      </c>
      <c r="D758" s="1" t="inlineStr">
        <is>
          <t>义乌</t>
        </is>
      </c>
      <c r="E758" s="1" t="inlineStr">
        <is>
          <t>商业地址</t>
        </is>
      </c>
      <c r="F758" s="134" t="n">
        <v>9.58</v>
      </c>
      <c r="G758" s="1" t="inlineStr">
        <is>
          <t>RMB/KG</t>
        </is>
      </c>
      <c r="H758" s="134" t="n">
        <v>1</v>
      </c>
      <c r="I758" s="1" t="inlineStr">
        <is>
          <t>2026-10-26</t>
        </is>
      </c>
      <c r="J758" s="1" t="inlineStr">
        <is>
          <t>凯琦FBA报价_当期.xlsx</t>
        </is>
      </c>
    </row>
    <row r="759">
      <c r="A759" s="1" t="inlineStr">
        <is>
          <t>加拿大</t>
        </is>
      </c>
      <c r="B759" s="1" t="inlineStr">
        <is>
          <t>加拿大-温哥华</t>
        </is>
      </c>
      <c r="C759" s="1" t="inlineStr">
        <is>
          <t>Y-X1-专线(温哥华)</t>
        </is>
      </c>
      <c r="D759" s="1" t="inlineStr">
        <is>
          <t>义乌</t>
        </is>
      </c>
      <c r="E759" s="1" t="inlineStr">
        <is>
          <t>YVR1</t>
        </is>
      </c>
      <c r="F759" s="134" t="n">
        <v>9.880000000000001</v>
      </c>
      <c r="G759" s="1" t="inlineStr">
        <is>
          <t>RMB/KG</t>
        </is>
      </c>
      <c r="H759" s="134" t="n">
        <v>1</v>
      </c>
      <c r="I759" s="1" t="inlineStr">
        <is>
          <t>2026-10-26</t>
        </is>
      </c>
      <c r="J759" s="1" t="inlineStr">
        <is>
          <t>凯琦FBA报价_当期.xlsx</t>
        </is>
      </c>
    </row>
    <row r="760">
      <c r="A760" s="1" t="inlineStr">
        <is>
          <t>加拿大</t>
        </is>
      </c>
      <c r="B760" s="1" t="inlineStr">
        <is>
          <t>加拿大-温哥华</t>
        </is>
      </c>
      <c r="C760" s="1" t="inlineStr">
        <is>
          <t>Y-X1-专线(温哥华)</t>
        </is>
      </c>
      <c r="D760" s="1" t="inlineStr">
        <is>
          <t>义乌</t>
        </is>
      </c>
      <c r="E760" s="1" t="inlineStr">
        <is>
          <t>YVR2</t>
        </is>
      </c>
      <c r="F760" s="134" t="n">
        <v>9.880000000000001</v>
      </c>
      <c r="G760" s="1" t="inlineStr">
        <is>
          <t>RMB/KG</t>
        </is>
      </c>
      <c r="H760" s="134" t="n">
        <v>1</v>
      </c>
      <c r="I760" s="1" t="inlineStr">
        <is>
          <t>2026-10-26</t>
        </is>
      </c>
      <c r="J760" s="1" t="inlineStr">
        <is>
          <t>凯琦FBA报价_当期.xlsx</t>
        </is>
      </c>
    </row>
    <row r="761">
      <c r="A761" s="1" t="inlineStr">
        <is>
          <t>加拿大</t>
        </is>
      </c>
      <c r="B761" s="1" t="inlineStr">
        <is>
          <t>加拿大-温哥华</t>
        </is>
      </c>
      <c r="C761" s="1" t="inlineStr">
        <is>
          <t>Y-X1-专线(温哥华)</t>
        </is>
      </c>
      <c r="D761" s="1" t="inlineStr">
        <is>
          <t>义乌</t>
        </is>
      </c>
      <c r="E761" s="1" t="inlineStr">
        <is>
          <t>YVR3</t>
        </is>
      </c>
      <c r="F761" s="134" t="n">
        <v>9.880000000000001</v>
      </c>
      <c r="G761" s="1" t="inlineStr">
        <is>
          <t>RMB/KG</t>
        </is>
      </c>
      <c r="H761" s="134" t="n">
        <v>1</v>
      </c>
      <c r="I761" s="1" t="inlineStr">
        <is>
          <t>2026-10-26</t>
        </is>
      </c>
      <c r="J761" s="1" t="inlineStr">
        <is>
          <t>凯琦FBA报价_当期.xlsx</t>
        </is>
      </c>
    </row>
    <row r="762">
      <c r="A762" s="1" t="inlineStr">
        <is>
          <t>加拿大</t>
        </is>
      </c>
      <c r="B762" s="1" t="inlineStr">
        <is>
          <t>加拿大-温哥华</t>
        </is>
      </c>
      <c r="C762" s="1" t="inlineStr">
        <is>
          <t>Y-X1-专线(温哥华)</t>
        </is>
      </c>
      <c r="D762" s="1" t="inlineStr">
        <is>
          <t>义乌</t>
        </is>
      </c>
      <c r="E762" s="1" t="inlineStr">
        <is>
          <t>YVR4</t>
        </is>
      </c>
      <c r="F762" s="134" t="n">
        <v>9.880000000000001</v>
      </c>
      <c r="G762" s="1" t="inlineStr">
        <is>
          <t>RMB/KG</t>
        </is>
      </c>
      <c r="H762" s="134" t="n">
        <v>1</v>
      </c>
      <c r="I762" s="1" t="inlineStr">
        <is>
          <t>2026-10-26</t>
        </is>
      </c>
      <c r="J762" s="1" t="inlineStr">
        <is>
          <t>凯琦FBA报价_当期.xlsx</t>
        </is>
      </c>
    </row>
    <row r="763">
      <c r="A763" s="1" t="inlineStr">
        <is>
          <t>加拿大</t>
        </is>
      </c>
      <c r="B763" s="1" t="inlineStr">
        <is>
          <t>加拿大-温哥华</t>
        </is>
      </c>
      <c r="C763" s="1" t="inlineStr">
        <is>
          <t>Y-X1-专线(温哥华)</t>
        </is>
      </c>
      <c r="D763" s="1" t="inlineStr">
        <is>
          <t>义乌</t>
        </is>
      </c>
      <c r="E763" s="1" t="inlineStr">
        <is>
          <t>YXX2</t>
        </is>
      </c>
      <c r="F763" s="134" t="n">
        <v>9.880000000000001</v>
      </c>
      <c r="G763" s="1" t="inlineStr">
        <is>
          <t>RMB/KG</t>
        </is>
      </c>
      <c r="H763" s="134" t="n">
        <v>1</v>
      </c>
      <c r="I763" s="1" t="inlineStr">
        <is>
          <t>2026-10-26</t>
        </is>
      </c>
      <c r="J763" s="1" t="inlineStr">
        <is>
          <t>凯琦FBA报价_当期.xlsx</t>
        </is>
      </c>
    </row>
    <row r="764">
      <c r="A764" s="1" t="inlineStr">
        <is>
          <t>加拿大</t>
        </is>
      </c>
      <c r="B764" s="1" t="inlineStr">
        <is>
          <t>加拿大-卡尔加里</t>
        </is>
      </c>
      <c r="C764" s="1" t="inlineStr">
        <is>
          <t>Y-X1-专线(卡尔加里)</t>
        </is>
      </c>
      <c r="D764" s="1" t="inlineStr">
        <is>
          <t>义乌</t>
        </is>
      </c>
      <c r="E764" s="1" t="inlineStr">
        <is>
          <t>YYC1</t>
        </is>
      </c>
      <c r="F764" s="134" t="n">
        <v>8.68</v>
      </c>
      <c r="G764" s="1" t="inlineStr">
        <is>
          <t>RMB/KG</t>
        </is>
      </c>
      <c r="H764" s="134" t="n">
        <v>1</v>
      </c>
      <c r="I764" s="1" t="inlineStr">
        <is>
          <t>2026-10-26</t>
        </is>
      </c>
      <c r="J764" s="1" t="inlineStr">
        <is>
          <t>凯琦FBA报价_当期.xlsx</t>
        </is>
      </c>
    </row>
    <row r="765">
      <c r="A765" s="1" t="inlineStr">
        <is>
          <t>加拿大</t>
        </is>
      </c>
      <c r="B765" s="1" t="inlineStr">
        <is>
          <t>加拿大-卡尔加里</t>
        </is>
      </c>
      <c r="C765" s="1" t="inlineStr">
        <is>
          <t>Y-X1-专线(卡尔加里)</t>
        </is>
      </c>
      <c r="D765" s="1" t="inlineStr">
        <is>
          <t>义乌</t>
        </is>
      </c>
      <c r="E765" s="1" t="inlineStr">
        <is>
          <t>YYC4</t>
        </is>
      </c>
      <c r="F765" s="134" t="n">
        <v>8.68</v>
      </c>
      <c r="G765" s="1" t="inlineStr">
        <is>
          <t>RMB/KG</t>
        </is>
      </c>
      <c r="H765" s="134" t="n">
        <v>1</v>
      </c>
      <c r="I765" s="1" t="inlineStr">
        <is>
          <t>2026-10-26</t>
        </is>
      </c>
      <c r="J765" s="1" t="inlineStr">
        <is>
          <t>凯琦FBA报价_当期.xlsx</t>
        </is>
      </c>
    </row>
    <row r="766">
      <c r="A766" s="1" t="inlineStr">
        <is>
          <t>加拿大</t>
        </is>
      </c>
      <c r="B766" s="1" t="inlineStr">
        <is>
          <t>加拿大-卡尔加里</t>
        </is>
      </c>
      <c r="C766" s="1" t="inlineStr">
        <is>
          <t>Y-X1-专线(卡尔加里)</t>
        </is>
      </c>
      <c r="D766" s="1" t="inlineStr">
        <is>
          <t>义乌</t>
        </is>
      </c>
      <c r="E766" s="1" t="inlineStr">
        <is>
          <t>YYC6</t>
        </is>
      </c>
      <c r="F766" s="134" t="n">
        <v>8.68</v>
      </c>
      <c r="G766" s="1" t="inlineStr">
        <is>
          <t>RMB/KG</t>
        </is>
      </c>
      <c r="H766" s="134" t="n">
        <v>1</v>
      </c>
      <c r="I766" s="1" t="inlineStr">
        <is>
          <t>2026-10-26</t>
        </is>
      </c>
      <c r="J766" s="1" t="inlineStr">
        <is>
          <t>凯琦FBA报价_当期.xlsx</t>
        </is>
      </c>
    </row>
    <row r="767">
      <c r="A767" s="1" t="inlineStr">
        <is>
          <t>加拿大</t>
        </is>
      </c>
      <c r="B767" s="1" t="inlineStr">
        <is>
          <t>加拿大-卡尔加里</t>
        </is>
      </c>
      <c r="C767" s="1" t="inlineStr">
        <is>
          <t>Y-X1-专线(卡尔加里)</t>
        </is>
      </c>
      <c r="D767" s="1" t="inlineStr">
        <is>
          <t>义乌</t>
        </is>
      </c>
      <c r="E767" s="1" t="inlineStr">
        <is>
          <t>XCAB</t>
        </is>
      </c>
      <c r="F767" s="134" t="n">
        <v>8.68</v>
      </c>
      <c r="G767" s="1" t="inlineStr">
        <is>
          <t>RMB/KG</t>
        </is>
      </c>
      <c r="H767" s="134" t="n">
        <v>1</v>
      </c>
      <c r="I767" s="1" t="inlineStr">
        <is>
          <t>2026-10-26</t>
        </is>
      </c>
      <c r="J767" s="1" t="inlineStr">
        <is>
          <t>凯琦FBA报价_当期.xlsx</t>
        </is>
      </c>
    </row>
    <row r="768">
      <c r="A768" s="1" t="inlineStr">
        <is>
          <t>加拿大</t>
        </is>
      </c>
      <c r="B768" s="1" t="inlineStr">
        <is>
          <t>加拿大-卡尔加里</t>
        </is>
      </c>
      <c r="C768" s="1" t="inlineStr">
        <is>
          <t>Y-X1-专线(卡尔加里)</t>
        </is>
      </c>
      <c r="D768" s="1" t="inlineStr">
        <is>
          <t>义乌</t>
        </is>
      </c>
      <c r="E768" s="1" t="inlineStr">
        <is>
          <t>YEG1</t>
        </is>
      </c>
      <c r="F768" s="134" t="n">
        <v>8.98</v>
      </c>
      <c r="G768" s="1" t="inlineStr">
        <is>
          <t>RMB/KG</t>
        </is>
      </c>
      <c r="H768" s="134" t="n">
        <v>1</v>
      </c>
      <c r="I768" s="1" t="inlineStr">
        <is>
          <t>2026-10-26</t>
        </is>
      </c>
      <c r="J768" s="1" t="inlineStr">
        <is>
          <t>凯琦FBA报价_当期.xlsx</t>
        </is>
      </c>
    </row>
    <row r="769">
      <c r="A769" s="1" t="inlineStr">
        <is>
          <t>加拿大</t>
        </is>
      </c>
      <c r="B769" s="1" t="inlineStr">
        <is>
          <t>加拿大-卡尔加里</t>
        </is>
      </c>
      <c r="C769" s="1" t="inlineStr">
        <is>
          <t>Y-X1-专线(卡尔加里)</t>
        </is>
      </c>
      <c r="D769" s="1" t="inlineStr">
        <is>
          <t>义乌</t>
        </is>
      </c>
      <c r="E769" s="1" t="inlineStr">
        <is>
          <t>YEG2</t>
        </is>
      </c>
      <c r="F769" s="134" t="n">
        <v>8.98</v>
      </c>
      <c r="G769" s="1" t="inlineStr">
        <is>
          <t>RMB/KG</t>
        </is>
      </c>
      <c r="H769" s="134" t="n">
        <v>1</v>
      </c>
      <c r="I769" s="1" t="inlineStr">
        <is>
          <t>2026-10-26</t>
        </is>
      </c>
      <c r="J769" s="1" t="inlineStr">
        <is>
          <t>凯琦FBA报价_当期.xlsx</t>
        </is>
      </c>
    </row>
    <row r="770">
      <c r="A770" s="1" t="inlineStr">
        <is>
          <t>加拿大</t>
        </is>
      </c>
      <c r="B770" s="1" t="inlineStr">
        <is>
          <t>加拿大-温尼伯</t>
        </is>
      </c>
      <c r="C770" s="1" t="inlineStr">
        <is>
          <t>Y-X1-专线(温尼伯)</t>
        </is>
      </c>
      <c r="D770" s="1" t="inlineStr">
        <is>
          <t>义乌</t>
        </is>
      </c>
      <c r="E770" s="1" t="inlineStr">
        <is>
          <t>XYY3</t>
        </is>
      </c>
      <c r="F770" s="134" t="n">
        <v>11.08</v>
      </c>
      <c r="G770" s="1" t="inlineStr">
        <is>
          <t>RMB/KG</t>
        </is>
      </c>
      <c r="H770" s="134" t="n">
        <v>1</v>
      </c>
      <c r="I770" s="1" t="inlineStr">
        <is>
          <t>2026-10-26</t>
        </is>
      </c>
      <c r="J770" s="1" t="inlineStr">
        <is>
          <t>凯琦FBA报价_当期.xlsx</t>
        </is>
      </c>
    </row>
    <row r="771">
      <c r="A771" s="1" t="inlineStr">
        <is>
          <t>美转加</t>
        </is>
      </c>
      <c r="B771" s="1" t="inlineStr">
        <is>
          <t>美转加</t>
        </is>
      </c>
      <c r="C771" s="1" t="inlineStr">
        <is>
          <t>Y-X3-专线</t>
        </is>
      </c>
      <c r="D771" s="1" t="inlineStr">
        <is>
          <t>义乌</t>
        </is>
      </c>
      <c r="E771" s="1" t="inlineStr">
        <is>
          <t>YYZ3</t>
        </is>
      </c>
      <c r="F771" s="134" t="n">
        <v>12.28</v>
      </c>
      <c r="G771" s="1" t="inlineStr">
        <is>
          <t>RMB/KG</t>
        </is>
      </c>
      <c r="H771" s="134" t="n">
        <v>0</v>
      </c>
      <c r="I771" s="1" t="inlineStr">
        <is>
          <t>2026-10-26</t>
        </is>
      </c>
      <c r="J771" s="1" t="inlineStr">
        <is>
          <t>凯琦FBA报价_当期.xlsx</t>
        </is>
      </c>
    </row>
    <row r="772">
      <c r="A772" s="1" t="inlineStr">
        <is>
          <t>美转加</t>
        </is>
      </c>
      <c r="B772" s="1" t="inlineStr">
        <is>
          <t>美转加</t>
        </is>
      </c>
      <c r="C772" s="1" t="inlineStr">
        <is>
          <t>Y-X3-专线</t>
        </is>
      </c>
      <c r="D772" s="1" t="inlineStr">
        <is>
          <t>义乌</t>
        </is>
      </c>
      <c r="E772" s="1" t="inlineStr">
        <is>
          <t>YYZ4</t>
        </is>
      </c>
      <c r="F772" s="134" t="n">
        <v>12.28</v>
      </c>
      <c r="G772" s="1" t="inlineStr">
        <is>
          <t>RMB/KG</t>
        </is>
      </c>
      <c r="H772" s="134" t="n">
        <v>0</v>
      </c>
      <c r="I772" s="1" t="inlineStr">
        <is>
          <t>2026-10-26</t>
        </is>
      </c>
      <c r="J772" s="1" t="inlineStr">
        <is>
          <t>凯琦FBA报价_当期.xlsx</t>
        </is>
      </c>
    </row>
    <row r="773">
      <c r="A773" s="1" t="inlineStr">
        <is>
          <t>美转加</t>
        </is>
      </c>
      <c r="B773" s="1" t="inlineStr">
        <is>
          <t>美转加</t>
        </is>
      </c>
      <c r="C773" s="1" t="inlineStr">
        <is>
          <t>Y-X3-专线</t>
        </is>
      </c>
      <c r="D773" s="1" t="inlineStr">
        <is>
          <t>义乌</t>
        </is>
      </c>
      <c r="E773" s="1" t="inlineStr">
        <is>
          <t>YYZ1</t>
        </is>
      </c>
      <c r="F773" s="134" t="n">
        <v>12.28</v>
      </c>
      <c r="G773" s="1" t="inlineStr">
        <is>
          <t>RMB/KG</t>
        </is>
      </c>
      <c r="H773" s="134" t="n">
        <v>0</v>
      </c>
      <c r="I773" s="1" t="inlineStr">
        <is>
          <t>2026-10-26</t>
        </is>
      </c>
      <c r="J773" s="1" t="inlineStr">
        <is>
          <t>凯琦FBA报价_当期.xlsx</t>
        </is>
      </c>
    </row>
    <row r="774">
      <c r="A774" s="1" t="inlineStr">
        <is>
          <t>美转加</t>
        </is>
      </c>
      <c r="B774" s="1" t="inlineStr">
        <is>
          <t>美转加</t>
        </is>
      </c>
      <c r="C774" s="1" t="inlineStr">
        <is>
          <t>Y-X3-专线</t>
        </is>
      </c>
      <c r="D774" s="1" t="inlineStr">
        <is>
          <t>义乌</t>
        </is>
      </c>
      <c r="E774" s="1" t="inlineStr">
        <is>
          <t>YYZ6</t>
        </is>
      </c>
      <c r="F774" s="134" t="n">
        <v>12.28</v>
      </c>
      <c r="G774" s="1" t="inlineStr">
        <is>
          <t>RMB/KG</t>
        </is>
      </c>
      <c r="H774" s="134" t="n">
        <v>0</v>
      </c>
      <c r="I774" s="1" t="inlineStr">
        <is>
          <t>2026-10-26</t>
        </is>
      </c>
      <c r="J774" s="1" t="inlineStr">
        <is>
          <t>凯琦FBA报价_当期.xlsx</t>
        </is>
      </c>
    </row>
    <row r="775">
      <c r="A775" s="1" t="inlineStr">
        <is>
          <t>美转加</t>
        </is>
      </c>
      <c r="B775" s="1" t="inlineStr">
        <is>
          <t>美转加</t>
        </is>
      </c>
      <c r="C775" s="1" t="inlineStr">
        <is>
          <t>Y-X3-专线</t>
        </is>
      </c>
      <c r="D775" s="1" t="inlineStr">
        <is>
          <t>义乌</t>
        </is>
      </c>
      <c r="E775" s="1" t="inlineStr">
        <is>
          <t>YYZ7</t>
        </is>
      </c>
      <c r="F775" s="134" t="n">
        <v>12.28</v>
      </c>
      <c r="G775" s="1" t="inlineStr">
        <is>
          <t>RMB/KG</t>
        </is>
      </c>
      <c r="H775" s="134" t="n">
        <v>0</v>
      </c>
      <c r="I775" s="1" t="inlineStr">
        <is>
          <t>2026-10-26</t>
        </is>
      </c>
      <c r="J775" s="1" t="inlineStr">
        <is>
          <t>凯琦FBA报价_当期.xlsx</t>
        </is>
      </c>
    </row>
    <row r="776">
      <c r="A776" s="1" t="inlineStr">
        <is>
          <t>美转加</t>
        </is>
      </c>
      <c r="B776" s="1" t="inlineStr">
        <is>
          <t>美转加</t>
        </is>
      </c>
      <c r="C776" s="1" t="inlineStr">
        <is>
          <t>Y-X3-专线</t>
        </is>
      </c>
      <c r="D776" s="1" t="inlineStr">
        <is>
          <t>义乌</t>
        </is>
      </c>
      <c r="E776" s="1" t="inlineStr">
        <is>
          <t>YYZ9</t>
        </is>
      </c>
      <c r="F776" s="134" t="n">
        <v>12.28</v>
      </c>
      <c r="G776" s="1" t="inlineStr">
        <is>
          <t>RMB/KG</t>
        </is>
      </c>
      <c r="H776" s="134" t="n">
        <v>0</v>
      </c>
      <c r="I776" s="1" t="inlineStr">
        <is>
          <t>2026-10-26</t>
        </is>
      </c>
      <c r="J776" s="1" t="inlineStr">
        <is>
          <t>凯琦FBA报价_当期.xlsx</t>
        </is>
      </c>
    </row>
    <row r="777">
      <c r="A777" s="1" t="inlineStr">
        <is>
          <t>美转加</t>
        </is>
      </c>
      <c r="B777" s="1" t="inlineStr">
        <is>
          <t>美转加</t>
        </is>
      </c>
      <c r="C777" s="1" t="inlineStr">
        <is>
          <t>Y-X3-专线</t>
        </is>
      </c>
      <c r="D777" s="1" t="inlineStr">
        <is>
          <t>义乌</t>
        </is>
      </c>
      <c r="E777" s="1" t="inlineStr">
        <is>
          <t>YOO1</t>
        </is>
      </c>
      <c r="F777" s="134" t="n">
        <v>12.48</v>
      </c>
      <c r="G777" s="1" t="inlineStr">
        <is>
          <t>RMB/KG</t>
        </is>
      </c>
      <c r="H777" s="134" t="n">
        <v>0</v>
      </c>
      <c r="I777" s="1" t="inlineStr">
        <is>
          <t>2026-10-26</t>
        </is>
      </c>
      <c r="J777" s="1" t="inlineStr">
        <is>
          <t>凯琦FBA报价_当期.xlsx</t>
        </is>
      </c>
    </row>
    <row r="778">
      <c r="A778" s="1" t="inlineStr">
        <is>
          <t>美转加</t>
        </is>
      </c>
      <c r="B778" s="1" t="inlineStr">
        <is>
          <t>美转加</t>
        </is>
      </c>
      <c r="C778" s="1" t="inlineStr">
        <is>
          <t>Y-X3-专线</t>
        </is>
      </c>
      <c r="D778" s="1" t="inlineStr">
        <is>
          <t>义乌</t>
        </is>
      </c>
      <c r="E778" s="1" t="inlineStr">
        <is>
          <t>YHM1</t>
        </is>
      </c>
      <c r="F778" s="134" t="n">
        <v>12.48</v>
      </c>
      <c r="G778" s="1" t="inlineStr">
        <is>
          <t>RMB/KG</t>
        </is>
      </c>
      <c r="H778" s="134" t="n">
        <v>0</v>
      </c>
      <c r="I778" s="1" t="inlineStr">
        <is>
          <t>2026-10-26</t>
        </is>
      </c>
      <c r="J778" s="1" t="inlineStr">
        <is>
          <t>凯琦FBA报价_当期.xlsx</t>
        </is>
      </c>
    </row>
    <row r="779">
      <c r="A779" s="1" t="inlineStr">
        <is>
          <t>美转加</t>
        </is>
      </c>
      <c r="B779" s="1" t="inlineStr">
        <is>
          <t>美转加</t>
        </is>
      </c>
      <c r="C779" s="1" t="inlineStr">
        <is>
          <t>Y-X3-专线</t>
        </is>
      </c>
      <c r="D779" s="1" t="inlineStr">
        <is>
          <t>义乌</t>
        </is>
      </c>
      <c r="E779" s="1" t="inlineStr">
        <is>
          <t>YXU1</t>
        </is>
      </c>
      <c r="F779" s="134" t="n">
        <v>12.48</v>
      </c>
      <c r="G779" s="1" t="inlineStr">
        <is>
          <t>RMB/KG</t>
        </is>
      </c>
      <c r="H779" s="134" t="n">
        <v>0</v>
      </c>
      <c r="I779" s="1" t="inlineStr">
        <is>
          <t>2026-10-26</t>
        </is>
      </c>
      <c r="J779" s="1" t="inlineStr">
        <is>
          <t>凯琦FBA报价_当期.xlsx</t>
        </is>
      </c>
    </row>
    <row r="780">
      <c r="A780" s="1" t="inlineStr">
        <is>
          <t>美转加</t>
        </is>
      </c>
      <c r="B780" s="1" t="inlineStr">
        <is>
          <t>美转加</t>
        </is>
      </c>
      <c r="C780" s="1" t="inlineStr">
        <is>
          <t>Y-X3-专线</t>
        </is>
      </c>
      <c r="D780" s="1" t="inlineStr">
        <is>
          <t>义乌</t>
        </is>
      </c>
      <c r="E780" s="1" t="inlineStr">
        <is>
          <t>XYY1</t>
        </is>
      </c>
      <c r="F780" s="134" t="n">
        <v>12.48</v>
      </c>
      <c r="G780" s="1" t="inlineStr">
        <is>
          <t>RMB/KG</t>
        </is>
      </c>
      <c r="H780" s="134" t="n">
        <v>0</v>
      </c>
      <c r="I780" s="1" t="inlineStr">
        <is>
          <t>2026-10-26</t>
        </is>
      </c>
      <c r="J780" s="1" t="inlineStr">
        <is>
          <t>凯琦FBA报价_当期.xlsx</t>
        </is>
      </c>
    </row>
    <row r="781">
      <c r="A781" s="1" t="inlineStr">
        <is>
          <t>美转加</t>
        </is>
      </c>
      <c r="B781" s="1" t="inlineStr">
        <is>
          <t>美转加</t>
        </is>
      </c>
      <c r="C781" s="1" t="inlineStr">
        <is>
          <t>Y-X3-专线</t>
        </is>
      </c>
      <c r="D781" s="1" t="inlineStr">
        <is>
          <t>义乌</t>
        </is>
      </c>
      <c r="E781" s="1" t="inlineStr">
        <is>
          <t>XYY4</t>
        </is>
      </c>
      <c r="F781" s="134" t="n">
        <v>12.48</v>
      </c>
      <c r="G781" s="1" t="inlineStr">
        <is>
          <t>RMB/KG</t>
        </is>
      </c>
      <c r="H781" s="134" t="n">
        <v>0</v>
      </c>
      <c r="I781" s="1" t="inlineStr">
        <is>
          <t>2026-10-26</t>
        </is>
      </c>
      <c r="J781" s="1" t="inlineStr">
        <is>
          <t>凯琦FBA报价_当期.xlsx</t>
        </is>
      </c>
    </row>
    <row r="782">
      <c r="A782" s="1" t="inlineStr">
        <is>
          <t>美转加</t>
        </is>
      </c>
      <c r="B782" s="1" t="inlineStr">
        <is>
          <t>美转加</t>
        </is>
      </c>
      <c r="C782" s="1" t="inlineStr">
        <is>
          <t>Y-X3-专线</t>
        </is>
      </c>
      <c r="D782" s="1" t="inlineStr">
        <is>
          <t>义乌</t>
        </is>
      </c>
      <c r="E782" s="1" t="inlineStr">
        <is>
          <t>YGK1</t>
        </is>
      </c>
      <c r="F782" s="134" t="n">
        <v>12.48</v>
      </c>
      <c r="G782" s="1" t="inlineStr">
        <is>
          <t>RMB/KG</t>
        </is>
      </c>
      <c r="H782" s="134" t="n">
        <v>0</v>
      </c>
      <c r="I782" s="1" t="inlineStr">
        <is>
          <t>2026-10-26</t>
        </is>
      </c>
      <c r="J782" s="1" t="inlineStr">
        <is>
          <t>凯琦FBA报价_当期.xlsx</t>
        </is>
      </c>
    </row>
    <row r="783">
      <c r="A783" s="1" t="inlineStr">
        <is>
          <t>美转加</t>
        </is>
      </c>
      <c r="B783" s="1" t="inlineStr">
        <is>
          <t>美转加</t>
        </is>
      </c>
      <c r="C783" s="1" t="inlineStr">
        <is>
          <t>Y-X3-专线</t>
        </is>
      </c>
      <c r="D783" s="1" t="inlineStr">
        <is>
          <t>义乌</t>
        </is>
      </c>
      <c r="E783" s="1" t="inlineStr">
        <is>
          <t>YOW1</t>
        </is>
      </c>
      <c r="F783" s="134" t="n">
        <v>12.98</v>
      </c>
      <c r="G783" s="1" t="inlineStr">
        <is>
          <t>RMB/KG</t>
        </is>
      </c>
      <c r="H783" s="134" t="n">
        <v>0</v>
      </c>
      <c r="I783" s="1" t="inlineStr">
        <is>
          <t>2026-10-26</t>
        </is>
      </c>
      <c r="J783" s="1" t="inlineStr">
        <is>
          <t>凯琦FBA报价_当期.xlsx</t>
        </is>
      </c>
    </row>
    <row r="784">
      <c r="A784" s="1" t="inlineStr">
        <is>
          <t>美转加</t>
        </is>
      </c>
      <c r="B784" s="1" t="inlineStr">
        <is>
          <t>美转加</t>
        </is>
      </c>
      <c r="C784" s="1" t="inlineStr">
        <is>
          <t>Y-X3-专线</t>
        </is>
      </c>
      <c r="D784" s="1" t="inlineStr">
        <is>
          <t>义乌</t>
        </is>
      </c>
      <c r="E784" s="1" t="inlineStr">
        <is>
          <t>YOW3</t>
        </is>
      </c>
      <c r="F784" s="134" t="n">
        <v>12.98</v>
      </c>
      <c r="G784" s="1" t="inlineStr">
        <is>
          <t>RMB/KG</t>
        </is>
      </c>
      <c r="H784" s="134" t="n">
        <v>0</v>
      </c>
      <c r="I784" s="1" t="inlineStr">
        <is>
          <t>2026-10-26</t>
        </is>
      </c>
      <c r="J784" s="1" t="inlineStr">
        <is>
          <t>凯琦FBA报价_当期.xlsx</t>
        </is>
      </c>
    </row>
    <row r="785">
      <c r="A785" s="1" t="inlineStr">
        <is>
          <t>美转加</t>
        </is>
      </c>
      <c r="B785" s="1" t="inlineStr">
        <is>
          <t>美转加</t>
        </is>
      </c>
      <c r="C785" s="1" t="inlineStr">
        <is>
          <t>Y-X3-专线</t>
        </is>
      </c>
      <c r="D785" s="1" t="inlineStr">
        <is>
          <t>义乌</t>
        </is>
      </c>
      <c r="E785" s="1" t="inlineStr">
        <is>
          <t>YVR1</t>
        </is>
      </c>
      <c r="F785" s="134" t="n">
        <v>12.98</v>
      </c>
      <c r="G785" s="1" t="inlineStr">
        <is>
          <t>RMB/KG</t>
        </is>
      </c>
      <c r="H785" s="134" t="n">
        <v>0</v>
      </c>
      <c r="I785" s="1" t="inlineStr">
        <is>
          <t>2026-10-26</t>
        </is>
      </c>
      <c r="J785" s="1" t="inlineStr">
        <is>
          <t>凯琦FBA报价_当期.xlsx</t>
        </is>
      </c>
    </row>
    <row r="786">
      <c r="A786" s="1" t="inlineStr">
        <is>
          <t>美转加</t>
        </is>
      </c>
      <c r="B786" s="1" t="inlineStr">
        <is>
          <t>美转加</t>
        </is>
      </c>
      <c r="C786" s="1" t="inlineStr">
        <is>
          <t>Y-X3-专线</t>
        </is>
      </c>
      <c r="D786" s="1" t="inlineStr">
        <is>
          <t>义乌</t>
        </is>
      </c>
      <c r="E786" s="1" t="inlineStr">
        <is>
          <t>YVR2</t>
        </is>
      </c>
      <c r="F786" s="134" t="n">
        <v>12.98</v>
      </c>
      <c r="G786" s="1" t="inlineStr">
        <is>
          <t>RMB/KG</t>
        </is>
      </c>
      <c r="H786" s="134" t="n">
        <v>0</v>
      </c>
      <c r="I786" s="1" t="inlineStr">
        <is>
          <t>2026-10-26</t>
        </is>
      </c>
      <c r="J786" s="1" t="inlineStr">
        <is>
          <t>凯琦FBA报价_当期.xlsx</t>
        </is>
      </c>
    </row>
    <row r="787">
      <c r="A787" s="1" t="inlineStr">
        <is>
          <t>美转加</t>
        </is>
      </c>
      <c r="B787" s="1" t="inlineStr">
        <is>
          <t>美转加</t>
        </is>
      </c>
      <c r="C787" s="1" t="inlineStr">
        <is>
          <t>Y-X3-专线</t>
        </is>
      </c>
      <c r="D787" s="1" t="inlineStr">
        <is>
          <t>义乌</t>
        </is>
      </c>
      <c r="E787" s="1" t="inlineStr">
        <is>
          <t>YVR3</t>
        </is>
      </c>
      <c r="F787" s="134" t="n">
        <v>12.98</v>
      </c>
      <c r="G787" s="1" t="inlineStr">
        <is>
          <t>RMB/KG</t>
        </is>
      </c>
      <c r="H787" s="134" t="n">
        <v>0</v>
      </c>
      <c r="I787" s="1" t="inlineStr">
        <is>
          <t>2026-10-26</t>
        </is>
      </c>
      <c r="J787" s="1" t="inlineStr">
        <is>
          <t>凯琦FBA报价_当期.xlsx</t>
        </is>
      </c>
    </row>
    <row r="788">
      <c r="A788" s="1" t="inlineStr">
        <is>
          <t>美转加</t>
        </is>
      </c>
      <c r="B788" s="1" t="inlineStr">
        <is>
          <t>美转加</t>
        </is>
      </c>
      <c r="C788" s="1" t="inlineStr">
        <is>
          <t>Y-X3-专线</t>
        </is>
      </c>
      <c r="D788" s="1" t="inlineStr">
        <is>
          <t>义乌</t>
        </is>
      </c>
      <c r="E788" s="1" t="inlineStr">
        <is>
          <t>YVR4</t>
        </is>
      </c>
      <c r="F788" s="134" t="n">
        <v>12.98</v>
      </c>
      <c r="G788" s="1" t="inlineStr">
        <is>
          <t>RMB/KG</t>
        </is>
      </c>
      <c r="H788" s="134" t="n">
        <v>0</v>
      </c>
      <c r="I788" s="1" t="inlineStr">
        <is>
          <t>2026-10-26</t>
        </is>
      </c>
      <c r="J788" s="1" t="inlineStr">
        <is>
          <t>凯琦FBA报价_当期.xlsx</t>
        </is>
      </c>
    </row>
    <row r="789">
      <c r="A789" s="1" t="inlineStr">
        <is>
          <t>美转加</t>
        </is>
      </c>
      <c r="B789" s="1" t="inlineStr">
        <is>
          <t>美转加</t>
        </is>
      </c>
      <c r="C789" s="1" t="inlineStr">
        <is>
          <t>Y-X3-专线</t>
        </is>
      </c>
      <c r="D789" s="1" t="inlineStr">
        <is>
          <t>义乌</t>
        </is>
      </c>
      <c r="E789" s="1" t="inlineStr">
        <is>
          <t>YXX2</t>
        </is>
      </c>
      <c r="F789" s="134" t="n">
        <v>12.98</v>
      </c>
      <c r="G789" s="1" t="inlineStr">
        <is>
          <t>RMB/KG</t>
        </is>
      </c>
      <c r="H789" s="134" t="n">
        <v>0</v>
      </c>
      <c r="I789" s="1" t="inlineStr">
        <is>
          <t>2026-10-26</t>
        </is>
      </c>
      <c r="J789" s="1" t="inlineStr">
        <is>
          <t>凯琦FBA报价_当期.xlsx</t>
        </is>
      </c>
    </row>
    <row r="790">
      <c r="A790" s="1" t="inlineStr">
        <is>
          <t>美转加</t>
        </is>
      </c>
      <c r="B790" s="1" t="inlineStr">
        <is>
          <t>美转加</t>
        </is>
      </c>
      <c r="C790" s="1" t="inlineStr">
        <is>
          <t>Y-X3-专线</t>
        </is>
      </c>
      <c r="D790" s="1" t="inlineStr">
        <is>
          <t>义乌</t>
        </is>
      </c>
      <c r="E790" s="1" t="inlineStr">
        <is>
          <t>YYC1</t>
        </is>
      </c>
      <c r="F790" s="134" t="n">
        <v>12.38</v>
      </c>
      <c r="G790" s="1" t="inlineStr">
        <is>
          <t>RMB/KG</t>
        </is>
      </c>
      <c r="H790" s="134" t="n">
        <v>0</v>
      </c>
      <c r="I790" s="1" t="inlineStr">
        <is>
          <t>2026-10-26</t>
        </is>
      </c>
      <c r="J790" s="1" t="inlineStr">
        <is>
          <t>凯琦FBA报价_当期.xlsx</t>
        </is>
      </c>
    </row>
    <row r="791">
      <c r="A791" s="1" t="inlineStr">
        <is>
          <t>美转加</t>
        </is>
      </c>
      <c r="B791" s="1" t="inlineStr">
        <is>
          <t>美转加</t>
        </is>
      </c>
      <c r="C791" s="1" t="inlineStr">
        <is>
          <t>Y-X3-专线</t>
        </is>
      </c>
      <c r="D791" s="1" t="inlineStr">
        <is>
          <t>义乌</t>
        </is>
      </c>
      <c r="E791" s="1" t="inlineStr">
        <is>
          <t>YYC4</t>
        </is>
      </c>
      <c r="F791" s="134" t="n">
        <v>12.38</v>
      </c>
      <c r="G791" s="1" t="inlineStr">
        <is>
          <t>RMB/KG</t>
        </is>
      </c>
      <c r="H791" s="134" t="n">
        <v>0</v>
      </c>
      <c r="I791" s="1" t="inlineStr">
        <is>
          <t>2026-10-26</t>
        </is>
      </c>
      <c r="J791" s="1" t="inlineStr">
        <is>
          <t>凯琦FBA报价_当期.xlsx</t>
        </is>
      </c>
    </row>
    <row r="792">
      <c r="A792" s="1" t="inlineStr">
        <is>
          <t>美转加</t>
        </is>
      </c>
      <c r="B792" s="1" t="inlineStr">
        <is>
          <t>美转加</t>
        </is>
      </c>
      <c r="C792" s="1" t="inlineStr">
        <is>
          <t>Y-X3-专线</t>
        </is>
      </c>
      <c r="D792" s="1" t="inlineStr">
        <is>
          <t>义乌</t>
        </is>
      </c>
      <c r="E792" s="1" t="inlineStr">
        <is>
          <t>YYC6</t>
        </is>
      </c>
      <c r="F792" s="134" t="n">
        <v>12.38</v>
      </c>
      <c r="G792" s="1" t="inlineStr">
        <is>
          <t>RMB/KG</t>
        </is>
      </c>
      <c r="H792" s="134" t="n">
        <v>0</v>
      </c>
      <c r="I792" s="1" t="inlineStr">
        <is>
          <t>2026-10-26</t>
        </is>
      </c>
      <c r="J792" s="1" t="inlineStr">
        <is>
          <t>凯琦FBA报价_当期.xlsx</t>
        </is>
      </c>
    </row>
    <row r="793">
      <c r="A793" s="1" t="inlineStr">
        <is>
          <t>美转加</t>
        </is>
      </c>
      <c r="B793" s="1" t="inlineStr">
        <is>
          <t>美转加</t>
        </is>
      </c>
      <c r="C793" s="1" t="inlineStr">
        <is>
          <t>Y-X3-专线</t>
        </is>
      </c>
      <c r="D793" s="1" t="inlineStr">
        <is>
          <t>义乌</t>
        </is>
      </c>
      <c r="E793" s="1" t="inlineStr">
        <is>
          <t>YEG1</t>
        </is>
      </c>
      <c r="F793" s="134" t="n">
        <v>12.48</v>
      </c>
      <c r="G793" s="1" t="inlineStr">
        <is>
          <t>RMB/KG</t>
        </is>
      </c>
      <c r="H793" s="134" t="n">
        <v>0</v>
      </c>
      <c r="I793" s="1" t="inlineStr">
        <is>
          <t>2026-10-26</t>
        </is>
      </c>
      <c r="J793" s="1" t="inlineStr">
        <is>
          <t>凯琦FBA报价_当期.xlsx</t>
        </is>
      </c>
    </row>
    <row r="794">
      <c r="A794" s="1" t="inlineStr">
        <is>
          <t>美转加</t>
        </is>
      </c>
      <c r="B794" s="1" t="inlineStr">
        <is>
          <t>美转加</t>
        </is>
      </c>
      <c r="C794" s="1" t="inlineStr">
        <is>
          <t>Y-X3-专线</t>
        </is>
      </c>
      <c r="D794" s="1" t="inlineStr">
        <is>
          <t>义乌</t>
        </is>
      </c>
      <c r="E794" s="1" t="inlineStr">
        <is>
          <t>YEG2</t>
        </is>
      </c>
      <c r="F794" s="134" t="n">
        <v>12.48</v>
      </c>
      <c r="G794" s="1" t="inlineStr">
        <is>
          <t>RMB/KG</t>
        </is>
      </c>
      <c r="H794" s="134" t="n">
        <v>0</v>
      </c>
      <c r="I794" s="1" t="inlineStr">
        <is>
          <t>2026-10-26</t>
        </is>
      </c>
      <c r="J794" s="1" t="inlineStr">
        <is>
          <t>凯琦FBA报价_当期.xlsx</t>
        </is>
      </c>
    </row>
    <row r="795">
      <c r="A795" s="1" t="inlineStr">
        <is>
          <t>美转加</t>
        </is>
      </c>
      <c r="B795" s="1" t="inlineStr">
        <is>
          <t>美转加</t>
        </is>
      </c>
      <c r="C795" s="1" t="inlineStr">
        <is>
          <t>Y-X3-专线</t>
        </is>
      </c>
      <c r="D795" s="1" t="inlineStr">
        <is>
          <t>义乌</t>
        </is>
      </c>
      <c r="E795" s="1" t="inlineStr">
        <is>
          <t>XYY3</t>
        </is>
      </c>
      <c r="F795" s="134" t="n">
        <v>14.5</v>
      </c>
      <c r="G795" s="1" t="inlineStr">
        <is>
          <t>RMB/KG</t>
        </is>
      </c>
      <c r="H795" s="134" t="n">
        <v>0</v>
      </c>
      <c r="I795" s="1" t="inlineStr">
        <is>
          <t>2026-10-26</t>
        </is>
      </c>
      <c r="J795" s="1" t="inlineStr">
        <is>
          <t>凯琦FBA报价_当期.xlsx</t>
        </is>
      </c>
    </row>
    <row r="796">
      <c r="A796" s="1" t="inlineStr">
        <is>
          <t>美转加</t>
        </is>
      </c>
      <c r="B796" s="1" t="inlineStr">
        <is>
          <t>美转加</t>
        </is>
      </c>
      <c r="C796" s="1" t="inlineStr">
        <is>
          <t>Y-X5-专线</t>
        </is>
      </c>
      <c r="D796" s="1" t="inlineStr">
        <is>
          <t>义乌</t>
        </is>
      </c>
      <c r="E796" s="1" t="inlineStr">
        <is>
          <t>YYZ3</t>
        </is>
      </c>
      <c r="F796" s="134" t="n">
        <v>12.98</v>
      </c>
      <c r="G796" s="1" t="inlineStr">
        <is>
          <t>RMB/KG</t>
        </is>
      </c>
      <c r="H796" s="134" t="n">
        <v>0</v>
      </c>
      <c r="I796" s="1" t="inlineStr">
        <is>
          <t>2026-10-26</t>
        </is>
      </c>
      <c r="J796" s="1" t="inlineStr">
        <is>
          <t>凯琦FBA报价_当期.xlsx</t>
        </is>
      </c>
    </row>
    <row r="797">
      <c r="A797" s="1" t="inlineStr">
        <is>
          <t>美转加</t>
        </is>
      </c>
      <c r="B797" s="1" t="inlineStr">
        <is>
          <t>美转加</t>
        </is>
      </c>
      <c r="C797" s="1" t="inlineStr">
        <is>
          <t>Y-X5-专线</t>
        </is>
      </c>
      <c r="D797" s="1" t="inlineStr">
        <is>
          <t>义乌</t>
        </is>
      </c>
      <c r="E797" s="1" t="inlineStr">
        <is>
          <t>YYZ4</t>
        </is>
      </c>
      <c r="F797" s="134" t="n">
        <v>12.98</v>
      </c>
      <c r="G797" s="1" t="inlineStr">
        <is>
          <t>RMB/KG</t>
        </is>
      </c>
      <c r="H797" s="134" t="n">
        <v>0</v>
      </c>
      <c r="I797" s="1" t="inlineStr">
        <is>
          <t>2026-10-26</t>
        </is>
      </c>
      <c r="J797" s="1" t="inlineStr">
        <is>
          <t>凯琦FBA报价_当期.xlsx</t>
        </is>
      </c>
    </row>
    <row r="798">
      <c r="A798" s="1" t="inlineStr">
        <is>
          <t>美转加</t>
        </is>
      </c>
      <c r="B798" s="1" t="inlineStr">
        <is>
          <t>美转加</t>
        </is>
      </c>
      <c r="C798" s="1" t="inlineStr">
        <is>
          <t>Y-X5-专线</t>
        </is>
      </c>
      <c r="D798" s="1" t="inlineStr">
        <is>
          <t>义乌</t>
        </is>
      </c>
      <c r="E798" s="1" t="inlineStr">
        <is>
          <t>YYZ1</t>
        </is>
      </c>
      <c r="F798" s="134" t="n">
        <v>12.98</v>
      </c>
      <c r="G798" s="1" t="inlineStr">
        <is>
          <t>RMB/KG</t>
        </is>
      </c>
      <c r="H798" s="134" t="n">
        <v>0</v>
      </c>
      <c r="I798" s="1" t="inlineStr">
        <is>
          <t>2026-10-26</t>
        </is>
      </c>
      <c r="J798" s="1" t="inlineStr">
        <is>
          <t>凯琦FBA报价_当期.xlsx</t>
        </is>
      </c>
    </row>
    <row r="799">
      <c r="A799" s="1" t="inlineStr">
        <is>
          <t>美转加</t>
        </is>
      </c>
      <c r="B799" s="1" t="inlineStr">
        <is>
          <t>美转加</t>
        </is>
      </c>
      <c r="C799" s="1" t="inlineStr">
        <is>
          <t>Y-X5-专线</t>
        </is>
      </c>
      <c r="D799" s="1" t="inlineStr">
        <is>
          <t>义乌</t>
        </is>
      </c>
      <c r="E799" s="1" t="inlineStr">
        <is>
          <t>YYZ6</t>
        </is>
      </c>
      <c r="F799" s="134" t="n">
        <v>12.98</v>
      </c>
      <c r="G799" s="1" t="inlineStr">
        <is>
          <t>RMB/KG</t>
        </is>
      </c>
      <c r="H799" s="134" t="n">
        <v>0</v>
      </c>
      <c r="I799" s="1" t="inlineStr">
        <is>
          <t>2026-10-26</t>
        </is>
      </c>
      <c r="J799" s="1" t="inlineStr">
        <is>
          <t>凯琦FBA报价_当期.xlsx</t>
        </is>
      </c>
    </row>
    <row r="800">
      <c r="A800" s="1" t="inlineStr">
        <is>
          <t>美转加</t>
        </is>
      </c>
      <c r="B800" s="1" t="inlineStr">
        <is>
          <t>美转加</t>
        </is>
      </c>
      <c r="C800" s="1" t="inlineStr">
        <is>
          <t>Y-X5-专线</t>
        </is>
      </c>
      <c r="D800" s="1" t="inlineStr">
        <is>
          <t>义乌</t>
        </is>
      </c>
      <c r="E800" s="1" t="inlineStr">
        <is>
          <t>YYZ7</t>
        </is>
      </c>
      <c r="F800" s="134" t="n">
        <v>12.98</v>
      </c>
      <c r="G800" s="1" t="inlineStr">
        <is>
          <t>RMB/KG</t>
        </is>
      </c>
      <c r="H800" s="134" t="n">
        <v>0</v>
      </c>
      <c r="I800" s="1" t="inlineStr">
        <is>
          <t>2026-10-26</t>
        </is>
      </c>
      <c r="J800" s="1" t="inlineStr">
        <is>
          <t>凯琦FBA报价_当期.xlsx</t>
        </is>
      </c>
    </row>
    <row r="801">
      <c r="A801" s="1" t="inlineStr">
        <is>
          <t>美转加</t>
        </is>
      </c>
      <c r="B801" s="1" t="inlineStr">
        <is>
          <t>美转加</t>
        </is>
      </c>
      <c r="C801" s="1" t="inlineStr">
        <is>
          <t>Y-X5-专线</t>
        </is>
      </c>
      <c r="D801" s="1" t="inlineStr">
        <is>
          <t>义乌</t>
        </is>
      </c>
      <c r="E801" s="1" t="inlineStr">
        <is>
          <t>YYZ9</t>
        </is>
      </c>
      <c r="F801" s="134" t="n">
        <v>12.98</v>
      </c>
      <c r="G801" s="1" t="inlineStr">
        <is>
          <t>RMB/KG</t>
        </is>
      </c>
      <c r="H801" s="134" t="n">
        <v>0</v>
      </c>
      <c r="I801" s="1" t="inlineStr">
        <is>
          <t>2026-10-26</t>
        </is>
      </c>
      <c r="J801" s="1" t="inlineStr">
        <is>
          <t>凯琦FBA报价_当期.xlsx</t>
        </is>
      </c>
    </row>
    <row r="802">
      <c r="A802" s="1" t="inlineStr">
        <is>
          <t>美转加</t>
        </is>
      </c>
      <c r="B802" s="1" t="inlineStr">
        <is>
          <t>美转加</t>
        </is>
      </c>
      <c r="C802" s="1" t="inlineStr">
        <is>
          <t>Y-X5-专线</t>
        </is>
      </c>
      <c r="D802" s="1" t="inlineStr">
        <is>
          <t>义乌</t>
        </is>
      </c>
      <c r="E802" s="1" t="inlineStr">
        <is>
          <t>YOO1</t>
        </is>
      </c>
      <c r="F802" s="134" t="n">
        <v>13.18</v>
      </c>
      <c r="G802" s="1" t="inlineStr">
        <is>
          <t>RMB/KG</t>
        </is>
      </c>
      <c r="H802" s="134" t="n">
        <v>0</v>
      </c>
      <c r="I802" s="1" t="inlineStr">
        <is>
          <t>2026-10-26</t>
        </is>
      </c>
      <c r="J802" s="1" t="inlineStr">
        <is>
          <t>凯琦FBA报价_当期.xlsx</t>
        </is>
      </c>
    </row>
    <row r="803">
      <c r="A803" s="1" t="inlineStr">
        <is>
          <t>美转加</t>
        </is>
      </c>
      <c r="B803" s="1" t="inlineStr">
        <is>
          <t>美转加</t>
        </is>
      </c>
      <c r="C803" s="1" t="inlineStr">
        <is>
          <t>Y-X5-专线</t>
        </is>
      </c>
      <c r="D803" s="1" t="inlineStr">
        <is>
          <t>义乌</t>
        </is>
      </c>
      <c r="E803" s="1" t="inlineStr">
        <is>
          <t>YHM1</t>
        </is>
      </c>
      <c r="F803" s="134" t="n">
        <v>13.18</v>
      </c>
      <c r="G803" s="1" t="inlineStr">
        <is>
          <t>RMB/KG</t>
        </is>
      </c>
      <c r="H803" s="134" t="n">
        <v>0</v>
      </c>
      <c r="I803" s="1" t="inlineStr">
        <is>
          <t>2026-10-26</t>
        </is>
      </c>
      <c r="J803" s="1" t="inlineStr">
        <is>
          <t>凯琦FBA报价_当期.xlsx</t>
        </is>
      </c>
    </row>
    <row r="804">
      <c r="A804" s="1" t="inlineStr">
        <is>
          <t>美转加</t>
        </is>
      </c>
      <c r="B804" s="1" t="inlineStr">
        <is>
          <t>美转加</t>
        </is>
      </c>
      <c r="C804" s="1" t="inlineStr">
        <is>
          <t>Y-X5-专线</t>
        </is>
      </c>
      <c r="D804" s="1" t="inlineStr">
        <is>
          <t>义乌</t>
        </is>
      </c>
      <c r="E804" s="1" t="inlineStr">
        <is>
          <t>YXU1</t>
        </is>
      </c>
      <c r="F804" s="134" t="n">
        <v>13.18</v>
      </c>
      <c r="G804" s="1" t="inlineStr">
        <is>
          <t>RMB/KG</t>
        </is>
      </c>
      <c r="H804" s="134" t="n">
        <v>0</v>
      </c>
      <c r="I804" s="1" t="inlineStr">
        <is>
          <t>2026-10-26</t>
        </is>
      </c>
      <c r="J804" s="1" t="inlineStr">
        <is>
          <t>凯琦FBA报价_当期.xlsx</t>
        </is>
      </c>
    </row>
    <row r="805">
      <c r="A805" s="1" t="inlineStr">
        <is>
          <t>美转加</t>
        </is>
      </c>
      <c r="B805" s="1" t="inlineStr">
        <is>
          <t>美转加</t>
        </is>
      </c>
      <c r="C805" s="1" t="inlineStr">
        <is>
          <t>Y-X5-专线</t>
        </is>
      </c>
      <c r="D805" s="1" t="inlineStr">
        <is>
          <t>义乌</t>
        </is>
      </c>
      <c r="E805" s="1" t="inlineStr">
        <is>
          <t>XYY1</t>
        </is>
      </c>
      <c r="F805" s="134" t="n">
        <v>13.18</v>
      </c>
      <c r="G805" s="1" t="inlineStr">
        <is>
          <t>RMB/KG</t>
        </is>
      </c>
      <c r="H805" s="134" t="n">
        <v>0</v>
      </c>
      <c r="I805" s="1" t="inlineStr">
        <is>
          <t>2026-10-26</t>
        </is>
      </c>
      <c r="J805" s="1" t="inlineStr">
        <is>
          <t>凯琦FBA报价_当期.xlsx</t>
        </is>
      </c>
    </row>
    <row r="806">
      <c r="A806" s="1" t="inlineStr">
        <is>
          <t>美转加</t>
        </is>
      </c>
      <c r="B806" s="1" t="inlineStr">
        <is>
          <t>美转加</t>
        </is>
      </c>
      <c r="C806" s="1" t="inlineStr">
        <is>
          <t>Y-X5-专线</t>
        </is>
      </c>
      <c r="D806" s="1" t="inlineStr">
        <is>
          <t>义乌</t>
        </is>
      </c>
      <c r="E806" s="1" t="inlineStr">
        <is>
          <t>XYY4</t>
        </is>
      </c>
      <c r="F806" s="134" t="n">
        <v>13.18</v>
      </c>
      <c r="G806" s="1" t="inlineStr">
        <is>
          <t>RMB/KG</t>
        </is>
      </c>
      <c r="H806" s="134" t="n">
        <v>0</v>
      </c>
      <c r="I806" s="1" t="inlineStr">
        <is>
          <t>2026-10-26</t>
        </is>
      </c>
      <c r="J806" s="1" t="inlineStr">
        <is>
          <t>凯琦FBA报价_当期.xlsx</t>
        </is>
      </c>
    </row>
    <row r="807">
      <c r="A807" s="1" t="inlineStr">
        <is>
          <t>美转加</t>
        </is>
      </c>
      <c r="B807" s="1" t="inlineStr">
        <is>
          <t>美转加</t>
        </is>
      </c>
      <c r="C807" s="1" t="inlineStr">
        <is>
          <t>Y-X5-专线</t>
        </is>
      </c>
      <c r="D807" s="1" t="inlineStr">
        <is>
          <t>义乌</t>
        </is>
      </c>
      <c r="E807" s="1" t="inlineStr">
        <is>
          <t>YGK1</t>
        </is>
      </c>
      <c r="F807" s="134" t="n">
        <v>13.18</v>
      </c>
      <c r="G807" s="1" t="inlineStr">
        <is>
          <t>RMB/KG</t>
        </is>
      </c>
      <c r="H807" s="134" t="n">
        <v>0</v>
      </c>
      <c r="I807" s="1" t="inlineStr">
        <is>
          <t>2026-10-26</t>
        </is>
      </c>
      <c r="J807" s="1" t="inlineStr">
        <is>
          <t>凯琦FBA报价_当期.xlsx</t>
        </is>
      </c>
    </row>
    <row r="808">
      <c r="A808" s="1" t="inlineStr">
        <is>
          <t>美转加</t>
        </is>
      </c>
      <c r="B808" s="1" t="inlineStr">
        <is>
          <t>美转加</t>
        </is>
      </c>
      <c r="C808" s="1" t="inlineStr">
        <is>
          <t>Y-X5-专线</t>
        </is>
      </c>
      <c r="D808" s="1" t="inlineStr">
        <is>
          <t>义乌</t>
        </is>
      </c>
      <c r="E808" s="1" t="inlineStr">
        <is>
          <t>YOW1</t>
        </is>
      </c>
      <c r="F808" s="134" t="n">
        <v>13.58</v>
      </c>
      <c r="G808" s="1" t="inlineStr">
        <is>
          <t>RMB/KG</t>
        </is>
      </c>
      <c r="H808" s="134" t="n">
        <v>0</v>
      </c>
      <c r="I808" s="1" t="inlineStr">
        <is>
          <t>2026-10-26</t>
        </is>
      </c>
      <c r="J808" s="1" t="inlineStr">
        <is>
          <t>凯琦FBA报价_当期.xlsx</t>
        </is>
      </c>
    </row>
    <row r="809">
      <c r="A809" s="1" t="inlineStr">
        <is>
          <t>美转加</t>
        </is>
      </c>
      <c r="B809" s="1" t="inlineStr">
        <is>
          <t>美转加</t>
        </is>
      </c>
      <c r="C809" s="1" t="inlineStr">
        <is>
          <t>Y-X5-专线</t>
        </is>
      </c>
      <c r="D809" s="1" t="inlineStr">
        <is>
          <t>义乌</t>
        </is>
      </c>
      <c r="E809" s="1" t="inlineStr">
        <is>
          <t>YOW3</t>
        </is>
      </c>
      <c r="F809" s="134" t="n">
        <v>13.58</v>
      </c>
      <c r="G809" s="1" t="inlineStr">
        <is>
          <t>RMB/KG</t>
        </is>
      </c>
      <c r="H809" s="134" t="n">
        <v>0</v>
      </c>
      <c r="I809" s="1" t="inlineStr">
        <is>
          <t>2026-10-26</t>
        </is>
      </c>
      <c r="J809" s="1" t="inlineStr">
        <is>
          <t>凯琦FBA报价_当期.xlsx</t>
        </is>
      </c>
    </row>
    <row r="810">
      <c r="A810" s="1" t="inlineStr">
        <is>
          <t>美转加</t>
        </is>
      </c>
      <c r="B810" s="1" t="inlineStr">
        <is>
          <t>美转加</t>
        </is>
      </c>
      <c r="C810" s="1" t="inlineStr">
        <is>
          <t>Y-X5-专线</t>
        </is>
      </c>
      <c r="D810" s="1" t="inlineStr">
        <is>
          <t>义乌</t>
        </is>
      </c>
      <c r="E810" s="1" t="inlineStr">
        <is>
          <t>YVR1</t>
        </is>
      </c>
      <c r="F810" s="134" t="n">
        <v>13.58</v>
      </c>
      <c r="G810" s="1" t="inlineStr">
        <is>
          <t>RMB/KG</t>
        </is>
      </c>
      <c r="H810" s="134" t="n">
        <v>0</v>
      </c>
      <c r="I810" s="1" t="inlineStr">
        <is>
          <t>2026-10-26</t>
        </is>
      </c>
      <c r="J810" s="1" t="inlineStr">
        <is>
          <t>凯琦FBA报价_当期.xlsx</t>
        </is>
      </c>
    </row>
    <row r="811">
      <c r="A811" s="1" t="inlineStr">
        <is>
          <t>美转加</t>
        </is>
      </c>
      <c r="B811" s="1" t="inlineStr">
        <is>
          <t>美转加</t>
        </is>
      </c>
      <c r="C811" s="1" t="inlineStr">
        <is>
          <t>Y-X5-专线</t>
        </is>
      </c>
      <c r="D811" s="1" t="inlineStr">
        <is>
          <t>义乌</t>
        </is>
      </c>
      <c r="E811" s="1" t="inlineStr">
        <is>
          <t>YVR2</t>
        </is>
      </c>
      <c r="F811" s="134" t="n">
        <v>13.58</v>
      </c>
      <c r="G811" s="1" t="inlineStr">
        <is>
          <t>RMB/KG</t>
        </is>
      </c>
      <c r="H811" s="134" t="n">
        <v>0</v>
      </c>
      <c r="I811" s="1" t="inlineStr">
        <is>
          <t>2026-10-26</t>
        </is>
      </c>
      <c r="J811" s="1" t="inlineStr">
        <is>
          <t>凯琦FBA报价_当期.xlsx</t>
        </is>
      </c>
    </row>
    <row r="812">
      <c r="A812" s="1" t="inlineStr">
        <is>
          <t>美转加</t>
        </is>
      </c>
      <c r="B812" s="1" t="inlineStr">
        <is>
          <t>美转加</t>
        </is>
      </c>
      <c r="C812" s="1" t="inlineStr">
        <is>
          <t>Y-X5-专线</t>
        </is>
      </c>
      <c r="D812" s="1" t="inlineStr">
        <is>
          <t>义乌</t>
        </is>
      </c>
      <c r="E812" s="1" t="inlineStr">
        <is>
          <t>YVR3</t>
        </is>
      </c>
      <c r="F812" s="134" t="n">
        <v>13.58</v>
      </c>
      <c r="G812" s="1" t="inlineStr">
        <is>
          <t>RMB/KG</t>
        </is>
      </c>
      <c r="H812" s="134" t="n">
        <v>0</v>
      </c>
      <c r="I812" s="1" t="inlineStr">
        <is>
          <t>2026-10-26</t>
        </is>
      </c>
      <c r="J812" s="1" t="inlineStr">
        <is>
          <t>凯琦FBA报价_当期.xlsx</t>
        </is>
      </c>
    </row>
    <row r="813">
      <c r="A813" s="1" t="inlineStr">
        <is>
          <t>美转加</t>
        </is>
      </c>
      <c r="B813" s="1" t="inlineStr">
        <is>
          <t>美转加</t>
        </is>
      </c>
      <c r="C813" s="1" t="inlineStr">
        <is>
          <t>Y-X5-专线</t>
        </is>
      </c>
      <c r="D813" s="1" t="inlineStr">
        <is>
          <t>义乌</t>
        </is>
      </c>
      <c r="E813" s="1" t="inlineStr">
        <is>
          <t>YVR4</t>
        </is>
      </c>
      <c r="F813" s="134" t="n">
        <v>13.58</v>
      </c>
      <c r="G813" s="1" t="inlineStr">
        <is>
          <t>RMB/KG</t>
        </is>
      </c>
      <c r="H813" s="134" t="n">
        <v>0</v>
      </c>
      <c r="I813" s="1" t="inlineStr">
        <is>
          <t>2026-10-26</t>
        </is>
      </c>
      <c r="J813" s="1" t="inlineStr">
        <is>
          <t>凯琦FBA报价_当期.xlsx</t>
        </is>
      </c>
    </row>
    <row r="814">
      <c r="A814" s="1" t="inlineStr">
        <is>
          <t>美转加</t>
        </is>
      </c>
      <c r="B814" s="1" t="inlineStr">
        <is>
          <t>美转加</t>
        </is>
      </c>
      <c r="C814" s="1" t="inlineStr">
        <is>
          <t>Y-X5-专线</t>
        </is>
      </c>
      <c r="D814" s="1" t="inlineStr">
        <is>
          <t>义乌</t>
        </is>
      </c>
      <c r="E814" s="1" t="inlineStr">
        <is>
          <t>YXX2</t>
        </is>
      </c>
      <c r="F814" s="134" t="n">
        <v>13.58</v>
      </c>
      <c r="G814" s="1" t="inlineStr">
        <is>
          <t>RMB/KG</t>
        </is>
      </c>
      <c r="H814" s="134" t="n">
        <v>0</v>
      </c>
      <c r="I814" s="1" t="inlineStr">
        <is>
          <t>2026-10-26</t>
        </is>
      </c>
      <c r="J814" s="1" t="inlineStr">
        <is>
          <t>凯琦FBA报价_当期.xlsx</t>
        </is>
      </c>
    </row>
    <row r="815">
      <c r="A815" s="1" t="inlineStr">
        <is>
          <t>美转加</t>
        </is>
      </c>
      <c r="B815" s="1" t="inlineStr">
        <is>
          <t>美转加</t>
        </is>
      </c>
      <c r="C815" s="1" t="inlineStr">
        <is>
          <t>Y-X5-专线</t>
        </is>
      </c>
      <c r="D815" s="1" t="inlineStr">
        <is>
          <t>义乌</t>
        </is>
      </c>
      <c r="E815" s="1" t="inlineStr">
        <is>
          <t>YYC1</t>
        </is>
      </c>
      <c r="F815" s="134" t="n">
        <v>13.08</v>
      </c>
      <c r="G815" s="1" t="inlineStr">
        <is>
          <t>RMB/KG</t>
        </is>
      </c>
      <c r="H815" s="134" t="n">
        <v>0</v>
      </c>
      <c r="I815" s="1" t="inlineStr">
        <is>
          <t>2026-10-26</t>
        </is>
      </c>
      <c r="J815" s="1" t="inlineStr">
        <is>
          <t>凯琦FBA报价_当期.xlsx</t>
        </is>
      </c>
    </row>
    <row r="816">
      <c r="A816" s="1" t="inlineStr">
        <is>
          <t>美转加</t>
        </is>
      </c>
      <c r="B816" s="1" t="inlineStr">
        <is>
          <t>美转加</t>
        </is>
      </c>
      <c r="C816" s="1" t="inlineStr">
        <is>
          <t>Y-X5-专线</t>
        </is>
      </c>
      <c r="D816" s="1" t="inlineStr">
        <is>
          <t>义乌</t>
        </is>
      </c>
      <c r="E816" s="1" t="inlineStr">
        <is>
          <t>YYC4</t>
        </is>
      </c>
      <c r="F816" s="134" t="n">
        <v>13.08</v>
      </c>
      <c r="G816" s="1" t="inlineStr">
        <is>
          <t>RMB/KG</t>
        </is>
      </c>
      <c r="H816" s="134" t="n">
        <v>0</v>
      </c>
      <c r="I816" s="1" t="inlineStr">
        <is>
          <t>2026-10-26</t>
        </is>
      </c>
      <c r="J816" s="1" t="inlineStr">
        <is>
          <t>凯琦FBA报价_当期.xlsx</t>
        </is>
      </c>
    </row>
    <row r="817">
      <c r="A817" s="1" t="inlineStr">
        <is>
          <t>美转加</t>
        </is>
      </c>
      <c r="B817" s="1" t="inlineStr">
        <is>
          <t>美转加</t>
        </is>
      </c>
      <c r="C817" s="1" t="inlineStr">
        <is>
          <t>Y-X5-专线</t>
        </is>
      </c>
      <c r="D817" s="1" t="inlineStr">
        <is>
          <t>义乌</t>
        </is>
      </c>
      <c r="E817" s="1" t="inlineStr">
        <is>
          <t>YYC6</t>
        </is>
      </c>
      <c r="F817" s="134" t="n">
        <v>13.08</v>
      </c>
      <c r="G817" s="1" t="inlineStr">
        <is>
          <t>RMB/KG</t>
        </is>
      </c>
      <c r="H817" s="134" t="n">
        <v>0</v>
      </c>
      <c r="I817" s="1" t="inlineStr">
        <is>
          <t>2026-10-26</t>
        </is>
      </c>
      <c r="J817" s="1" t="inlineStr">
        <is>
          <t>凯琦FBA报价_当期.xlsx</t>
        </is>
      </c>
    </row>
    <row r="818">
      <c r="A818" s="1" t="inlineStr">
        <is>
          <t>美转加</t>
        </is>
      </c>
      <c r="B818" s="1" t="inlineStr">
        <is>
          <t>美转加</t>
        </is>
      </c>
      <c r="C818" s="1" t="inlineStr">
        <is>
          <t>Y-X5-专线</t>
        </is>
      </c>
      <c r="D818" s="1" t="inlineStr">
        <is>
          <t>义乌</t>
        </is>
      </c>
      <c r="E818" s="1" t="inlineStr">
        <is>
          <t>YEG1</t>
        </is>
      </c>
      <c r="F818" s="134" t="n">
        <v>13.18</v>
      </c>
      <c r="G818" s="1" t="inlineStr">
        <is>
          <t>RMB/KG</t>
        </is>
      </c>
      <c r="H818" s="134" t="n">
        <v>0</v>
      </c>
      <c r="I818" s="1" t="inlineStr">
        <is>
          <t>2026-10-26</t>
        </is>
      </c>
      <c r="J818" s="1" t="inlineStr">
        <is>
          <t>凯琦FBA报价_当期.xlsx</t>
        </is>
      </c>
    </row>
    <row r="819">
      <c r="A819" s="1" t="inlineStr">
        <is>
          <t>美转加</t>
        </is>
      </c>
      <c r="B819" s="1" t="inlineStr">
        <is>
          <t>美转加</t>
        </is>
      </c>
      <c r="C819" s="1" t="inlineStr">
        <is>
          <t>Y-X5-专线</t>
        </is>
      </c>
      <c r="D819" s="1" t="inlineStr">
        <is>
          <t>义乌</t>
        </is>
      </c>
      <c r="E819" s="1" t="inlineStr">
        <is>
          <t>YEG2</t>
        </is>
      </c>
      <c r="F819" s="134" t="n">
        <v>13.18</v>
      </c>
      <c r="G819" s="1" t="inlineStr">
        <is>
          <t>RMB/KG</t>
        </is>
      </c>
      <c r="H819" s="134" t="n">
        <v>0</v>
      </c>
      <c r="I819" s="1" t="inlineStr">
        <is>
          <t>2026-10-26</t>
        </is>
      </c>
      <c r="J819" s="1" t="inlineStr">
        <is>
          <t>凯琦FBA报价_当期.xlsx</t>
        </is>
      </c>
    </row>
    <row r="820">
      <c r="A820" s="1" t="inlineStr">
        <is>
          <t>美转加</t>
        </is>
      </c>
      <c r="B820" s="1" t="inlineStr">
        <is>
          <t>美转加</t>
        </is>
      </c>
      <c r="C820" s="1" t="inlineStr">
        <is>
          <t>Y-X5-专线</t>
        </is>
      </c>
      <c r="D820" s="1" t="inlineStr">
        <is>
          <t>义乌</t>
        </is>
      </c>
      <c r="E820" s="1" t="inlineStr">
        <is>
          <t>XYY3</t>
        </is>
      </c>
      <c r="F820" s="134" t="n">
        <v>15</v>
      </c>
      <c r="G820" s="1" t="inlineStr">
        <is>
          <t>RMB/KG</t>
        </is>
      </c>
      <c r="H820" s="134" t="n">
        <v>0</v>
      </c>
      <c r="I820" s="1" t="inlineStr">
        <is>
          <t>2026-10-26</t>
        </is>
      </c>
      <c r="J820" s="1" t="inlineStr">
        <is>
          <t>凯琦FBA报价_当期.xlsx</t>
        </is>
      </c>
    </row>
    <row r="821">
      <c r="A821" s="1" t="inlineStr">
        <is>
          <t>美转加</t>
        </is>
      </c>
      <c r="B821" s="1" t="inlineStr">
        <is>
          <t>美转加</t>
        </is>
      </c>
      <c r="C821" s="1" t="inlineStr">
        <is>
          <t>Y-X7-专线</t>
        </is>
      </c>
      <c r="D821" s="1" t="inlineStr">
        <is>
          <t>义乌</t>
        </is>
      </c>
      <c r="E821" s="1" t="inlineStr">
        <is>
          <t>YYZ3</t>
        </is>
      </c>
      <c r="F821" s="134" t="n">
        <v>14.98</v>
      </c>
      <c r="G821" s="1" t="inlineStr">
        <is>
          <t>RMB/KG</t>
        </is>
      </c>
      <c r="H821" s="134" t="n">
        <v>0</v>
      </c>
      <c r="I821" s="1" t="inlineStr">
        <is>
          <t>2026-10-26</t>
        </is>
      </c>
      <c r="J821" s="1" t="inlineStr">
        <is>
          <t>凯琦FBA报价_当期.xlsx</t>
        </is>
      </c>
    </row>
    <row r="822">
      <c r="A822" s="1" t="inlineStr">
        <is>
          <t>美转加</t>
        </is>
      </c>
      <c r="B822" s="1" t="inlineStr">
        <is>
          <t>美转加</t>
        </is>
      </c>
      <c r="C822" s="1" t="inlineStr">
        <is>
          <t>Y-X7-专线</t>
        </is>
      </c>
      <c r="D822" s="1" t="inlineStr">
        <is>
          <t>义乌</t>
        </is>
      </c>
      <c r="E822" s="1" t="inlineStr">
        <is>
          <t>YYZ4</t>
        </is>
      </c>
      <c r="F822" s="134" t="n">
        <v>14.98</v>
      </c>
      <c r="G822" s="1" t="inlineStr">
        <is>
          <t>RMB/KG</t>
        </is>
      </c>
      <c r="H822" s="134" t="n">
        <v>0</v>
      </c>
      <c r="I822" s="1" t="inlineStr">
        <is>
          <t>2026-10-26</t>
        </is>
      </c>
      <c r="J822" s="1" t="inlineStr">
        <is>
          <t>凯琦FBA报价_当期.xlsx</t>
        </is>
      </c>
    </row>
    <row r="823">
      <c r="A823" s="1" t="inlineStr">
        <is>
          <t>美转加</t>
        </is>
      </c>
      <c r="B823" s="1" t="inlineStr">
        <is>
          <t>美转加</t>
        </is>
      </c>
      <c r="C823" s="1" t="inlineStr">
        <is>
          <t>Y-X7-专线</t>
        </is>
      </c>
      <c r="D823" s="1" t="inlineStr">
        <is>
          <t>义乌</t>
        </is>
      </c>
      <c r="E823" s="1" t="inlineStr">
        <is>
          <t>YYZ1</t>
        </is>
      </c>
      <c r="F823" s="134" t="n">
        <v>14.98</v>
      </c>
      <c r="G823" s="1" t="inlineStr">
        <is>
          <t>RMB/KG</t>
        </is>
      </c>
      <c r="H823" s="134" t="n">
        <v>0</v>
      </c>
      <c r="I823" s="1" t="inlineStr">
        <is>
          <t>2026-10-26</t>
        </is>
      </c>
      <c r="J823" s="1" t="inlineStr">
        <is>
          <t>凯琦FBA报价_当期.xlsx</t>
        </is>
      </c>
    </row>
    <row r="824">
      <c r="A824" s="1" t="inlineStr">
        <is>
          <t>美转加</t>
        </is>
      </c>
      <c r="B824" s="1" t="inlineStr">
        <is>
          <t>美转加</t>
        </is>
      </c>
      <c r="C824" s="1" t="inlineStr">
        <is>
          <t>Y-X7-专线</t>
        </is>
      </c>
      <c r="D824" s="1" t="inlineStr">
        <is>
          <t>义乌</t>
        </is>
      </c>
      <c r="E824" s="1" t="inlineStr">
        <is>
          <t>YYZ6</t>
        </is>
      </c>
      <c r="F824" s="134" t="n">
        <v>14.98</v>
      </c>
      <c r="G824" s="1" t="inlineStr">
        <is>
          <t>RMB/KG</t>
        </is>
      </c>
      <c r="H824" s="134" t="n">
        <v>0</v>
      </c>
      <c r="I824" s="1" t="inlineStr">
        <is>
          <t>2026-10-26</t>
        </is>
      </c>
      <c r="J824" s="1" t="inlineStr">
        <is>
          <t>凯琦FBA报价_当期.xlsx</t>
        </is>
      </c>
    </row>
    <row r="825">
      <c r="A825" s="1" t="inlineStr">
        <is>
          <t>美转加</t>
        </is>
      </c>
      <c r="B825" s="1" t="inlineStr">
        <is>
          <t>美转加</t>
        </is>
      </c>
      <c r="C825" s="1" t="inlineStr">
        <is>
          <t>Y-X7-专线</t>
        </is>
      </c>
      <c r="D825" s="1" t="inlineStr">
        <is>
          <t>义乌</t>
        </is>
      </c>
      <c r="E825" s="1" t="inlineStr">
        <is>
          <t>YYZ7</t>
        </is>
      </c>
      <c r="F825" s="134" t="n">
        <v>14.98</v>
      </c>
      <c r="G825" s="1" t="inlineStr">
        <is>
          <t>RMB/KG</t>
        </is>
      </c>
      <c r="H825" s="134" t="n">
        <v>0</v>
      </c>
      <c r="I825" s="1" t="inlineStr">
        <is>
          <t>2026-10-26</t>
        </is>
      </c>
      <c r="J825" s="1" t="inlineStr">
        <is>
          <t>凯琦FBA报价_当期.xlsx</t>
        </is>
      </c>
    </row>
    <row r="826">
      <c r="A826" s="1" t="inlineStr">
        <is>
          <t>美转加</t>
        </is>
      </c>
      <c r="B826" s="1" t="inlineStr">
        <is>
          <t>美转加</t>
        </is>
      </c>
      <c r="C826" s="1" t="inlineStr">
        <is>
          <t>Y-X7-专线</t>
        </is>
      </c>
      <c r="D826" s="1" t="inlineStr">
        <is>
          <t>义乌</t>
        </is>
      </c>
      <c r="E826" s="1" t="inlineStr">
        <is>
          <t>YYZ9</t>
        </is>
      </c>
      <c r="F826" s="134" t="n">
        <v>14.98</v>
      </c>
      <c r="G826" s="1" t="inlineStr">
        <is>
          <t>RMB/KG</t>
        </is>
      </c>
      <c r="H826" s="134" t="n">
        <v>0</v>
      </c>
      <c r="I826" s="1" t="inlineStr">
        <is>
          <t>2026-10-26</t>
        </is>
      </c>
      <c r="J826" s="1" t="inlineStr">
        <is>
          <t>凯琦FBA报价_当期.xlsx</t>
        </is>
      </c>
    </row>
    <row r="827">
      <c r="A827" s="1" t="inlineStr">
        <is>
          <t>美转加</t>
        </is>
      </c>
      <c r="B827" s="1" t="inlineStr">
        <is>
          <t>美转加</t>
        </is>
      </c>
      <c r="C827" s="1" t="inlineStr">
        <is>
          <t>Y-X7-专线</t>
        </is>
      </c>
      <c r="D827" s="1" t="inlineStr">
        <is>
          <t>义乌</t>
        </is>
      </c>
      <c r="E827" s="1" t="inlineStr">
        <is>
          <t>YOO1</t>
        </is>
      </c>
      <c r="F827" s="134" t="n">
        <v>15.18</v>
      </c>
      <c r="G827" s="1" t="inlineStr">
        <is>
          <t>RMB/KG</t>
        </is>
      </c>
      <c r="H827" s="134" t="n">
        <v>0</v>
      </c>
      <c r="I827" s="1" t="inlineStr">
        <is>
          <t>2026-10-26</t>
        </is>
      </c>
      <c r="J827" s="1" t="inlineStr">
        <is>
          <t>凯琦FBA报价_当期.xlsx</t>
        </is>
      </c>
    </row>
    <row r="828">
      <c r="A828" s="1" t="inlineStr">
        <is>
          <t>美转加</t>
        </is>
      </c>
      <c r="B828" s="1" t="inlineStr">
        <is>
          <t>美转加</t>
        </is>
      </c>
      <c r="C828" s="1" t="inlineStr">
        <is>
          <t>Y-X7-专线</t>
        </is>
      </c>
      <c r="D828" s="1" t="inlineStr">
        <is>
          <t>义乌</t>
        </is>
      </c>
      <c r="E828" s="1" t="inlineStr">
        <is>
          <t>YHM1</t>
        </is>
      </c>
      <c r="F828" s="134" t="n">
        <v>15.18</v>
      </c>
      <c r="G828" s="1" t="inlineStr">
        <is>
          <t>RMB/KG</t>
        </is>
      </c>
      <c r="H828" s="134" t="n">
        <v>0</v>
      </c>
      <c r="I828" s="1" t="inlineStr">
        <is>
          <t>2026-10-26</t>
        </is>
      </c>
      <c r="J828" s="1" t="inlineStr">
        <is>
          <t>凯琦FBA报价_当期.xlsx</t>
        </is>
      </c>
    </row>
    <row r="829">
      <c r="A829" s="1" t="inlineStr">
        <is>
          <t>美转加</t>
        </is>
      </c>
      <c r="B829" s="1" t="inlineStr">
        <is>
          <t>美转加</t>
        </is>
      </c>
      <c r="C829" s="1" t="inlineStr">
        <is>
          <t>Y-X7-专线</t>
        </is>
      </c>
      <c r="D829" s="1" t="inlineStr">
        <is>
          <t>义乌</t>
        </is>
      </c>
      <c r="E829" s="1" t="inlineStr">
        <is>
          <t>YXU1</t>
        </is>
      </c>
      <c r="F829" s="134" t="n">
        <v>15.18</v>
      </c>
      <c r="G829" s="1" t="inlineStr">
        <is>
          <t>RMB/KG</t>
        </is>
      </c>
      <c r="H829" s="134" t="n">
        <v>0</v>
      </c>
      <c r="I829" s="1" t="inlineStr">
        <is>
          <t>2026-10-26</t>
        </is>
      </c>
      <c r="J829" s="1" t="inlineStr">
        <is>
          <t>凯琦FBA报价_当期.xlsx</t>
        </is>
      </c>
    </row>
    <row r="830">
      <c r="A830" s="1" t="inlineStr">
        <is>
          <t>美转加</t>
        </is>
      </c>
      <c r="B830" s="1" t="inlineStr">
        <is>
          <t>美转加</t>
        </is>
      </c>
      <c r="C830" s="1" t="inlineStr">
        <is>
          <t>Y-X7-专线</t>
        </is>
      </c>
      <c r="D830" s="1" t="inlineStr">
        <is>
          <t>义乌</t>
        </is>
      </c>
      <c r="E830" s="1" t="inlineStr">
        <is>
          <t>XYY1</t>
        </is>
      </c>
      <c r="F830" s="134" t="n">
        <v>15.18</v>
      </c>
      <c r="G830" s="1" t="inlineStr">
        <is>
          <t>RMB/KG</t>
        </is>
      </c>
      <c r="H830" s="134" t="n">
        <v>0</v>
      </c>
      <c r="I830" s="1" t="inlineStr">
        <is>
          <t>2026-10-26</t>
        </is>
      </c>
      <c r="J830" s="1" t="inlineStr">
        <is>
          <t>凯琦FBA报价_当期.xlsx</t>
        </is>
      </c>
    </row>
    <row r="831">
      <c r="A831" s="1" t="inlineStr">
        <is>
          <t>美转加</t>
        </is>
      </c>
      <c r="B831" s="1" t="inlineStr">
        <is>
          <t>美转加</t>
        </is>
      </c>
      <c r="C831" s="1" t="inlineStr">
        <is>
          <t>Y-X7-专线</t>
        </is>
      </c>
      <c r="D831" s="1" t="inlineStr">
        <is>
          <t>义乌</t>
        </is>
      </c>
      <c r="E831" s="1" t="inlineStr">
        <is>
          <t>XYY4</t>
        </is>
      </c>
      <c r="F831" s="134" t="n">
        <v>15.18</v>
      </c>
      <c r="G831" s="1" t="inlineStr">
        <is>
          <t>RMB/KG</t>
        </is>
      </c>
      <c r="H831" s="134" t="n">
        <v>0</v>
      </c>
      <c r="I831" s="1" t="inlineStr">
        <is>
          <t>2026-10-26</t>
        </is>
      </c>
      <c r="J831" s="1" t="inlineStr">
        <is>
          <t>凯琦FBA报价_当期.xlsx</t>
        </is>
      </c>
    </row>
    <row r="832">
      <c r="A832" s="1" t="inlineStr">
        <is>
          <t>美转加</t>
        </is>
      </c>
      <c r="B832" s="1" t="inlineStr">
        <is>
          <t>美转加</t>
        </is>
      </c>
      <c r="C832" s="1" t="inlineStr">
        <is>
          <t>Y-X7-专线</t>
        </is>
      </c>
      <c r="D832" s="1" t="inlineStr">
        <is>
          <t>义乌</t>
        </is>
      </c>
      <c r="E832" s="1" t="inlineStr">
        <is>
          <t>YGK1</t>
        </is>
      </c>
      <c r="F832" s="134" t="n">
        <v>15.18</v>
      </c>
      <c r="G832" s="1" t="inlineStr">
        <is>
          <t>RMB/KG</t>
        </is>
      </c>
      <c r="H832" s="134" t="n">
        <v>0</v>
      </c>
      <c r="I832" s="1" t="inlineStr">
        <is>
          <t>2026-10-26</t>
        </is>
      </c>
      <c r="J832" s="1" t="inlineStr">
        <is>
          <t>凯琦FBA报价_当期.xlsx</t>
        </is>
      </c>
    </row>
    <row r="833">
      <c r="A833" s="1" t="inlineStr">
        <is>
          <t>美转加</t>
        </is>
      </c>
      <c r="B833" s="1" t="inlineStr">
        <is>
          <t>美转加</t>
        </is>
      </c>
      <c r="C833" s="1" t="inlineStr">
        <is>
          <t>Y-X7-专线</t>
        </is>
      </c>
      <c r="D833" s="1" t="inlineStr">
        <is>
          <t>义乌</t>
        </is>
      </c>
      <c r="E833" s="1" t="inlineStr">
        <is>
          <t>YOW1</t>
        </is>
      </c>
      <c r="F833" s="134" t="n">
        <v>15.48</v>
      </c>
      <c r="G833" s="1" t="inlineStr">
        <is>
          <t>RMB/KG</t>
        </is>
      </c>
      <c r="H833" s="134" t="n">
        <v>0</v>
      </c>
      <c r="I833" s="1" t="inlineStr">
        <is>
          <t>2026-10-26</t>
        </is>
      </c>
      <c r="J833" s="1" t="inlineStr">
        <is>
          <t>凯琦FBA报价_当期.xlsx</t>
        </is>
      </c>
    </row>
    <row r="834">
      <c r="A834" s="1" t="inlineStr">
        <is>
          <t>美转加</t>
        </is>
      </c>
      <c r="B834" s="1" t="inlineStr">
        <is>
          <t>美转加</t>
        </is>
      </c>
      <c r="C834" s="1" t="inlineStr">
        <is>
          <t>Y-X7-专线</t>
        </is>
      </c>
      <c r="D834" s="1" t="inlineStr">
        <is>
          <t>义乌</t>
        </is>
      </c>
      <c r="E834" s="1" t="inlineStr">
        <is>
          <t>YOW3</t>
        </is>
      </c>
      <c r="F834" s="134" t="n">
        <v>15.48</v>
      </c>
      <c r="G834" s="1" t="inlineStr">
        <is>
          <t>RMB/KG</t>
        </is>
      </c>
      <c r="H834" s="134" t="n">
        <v>0</v>
      </c>
      <c r="I834" s="1" t="inlineStr">
        <is>
          <t>2026-10-26</t>
        </is>
      </c>
      <c r="J834" s="1" t="inlineStr">
        <is>
          <t>凯琦FBA报价_当期.xlsx</t>
        </is>
      </c>
    </row>
    <row r="835">
      <c r="A835" s="1" t="inlineStr">
        <is>
          <t>美转加</t>
        </is>
      </c>
      <c r="B835" s="1" t="inlineStr">
        <is>
          <t>美转加</t>
        </is>
      </c>
      <c r="C835" s="1" t="inlineStr">
        <is>
          <t>Y-X7-专线</t>
        </is>
      </c>
      <c r="D835" s="1" t="inlineStr">
        <is>
          <t>义乌</t>
        </is>
      </c>
      <c r="E835" s="1" t="inlineStr">
        <is>
          <t>YVR1</t>
        </is>
      </c>
      <c r="F835" s="134" t="n">
        <v>15.48</v>
      </c>
      <c r="G835" s="1" t="inlineStr">
        <is>
          <t>RMB/KG</t>
        </is>
      </c>
      <c r="H835" s="134" t="n">
        <v>0</v>
      </c>
      <c r="I835" s="1" t="inlineStr">
        <is>
          <t>2026-10-26</t>
        </is>
      </c>
      <c r="J835" s="1" t="inlineStr">
        <is>
          <t>凯琦FBA报价_当期.xlsx</t>
        </is>
      </c>
    </row>
    <row r="836">
      <c r="A836" s="1" t="inlineStr">
        <is>
          <t>美转加</t>
        </is>
      </c>
      <c r="B836" s="1" t="inlineStr">
        <is>
          <t>美转加</t>
        </is>
      </c>
      <c r="C836" s="1" t="inlineStr">
        <is>
          <t>Y-X7-专线</t>
        </is>
      </c>
      <c r="D836" s="1" t="inlineStr">
        <is>
          <t>义乌</t>
        </is>
      </c>
      <c r="E836" s="1" t="inlineStr">
        <is>
          <t>YVR2</t>
        </is>
      </c>
      <c r="F836" s="134" t="n">
        <v>15.48</v>
      </c>
      <c r="G836" s="1" t="inlineStr">
        <is>
          <t>RMB/KG</t>
        </is>
      </c>
      <c r="H836" s="134" t="n">
        <v>0</v>
      </c>
      <c r="I836" s="1" t="inlineStr">
        <is>
          <t>2026-10-26</t>
        </is>
      </c>
      <c r="J836" s="1" t="inlineStr">
        <is>
          <t>凯琦FBA报价_当期.xlsx</t>
        </is>
      </c>
    </row>
    <row r="837">
      <c r="A837" s="1" t="inlineStr">
        <is>
          <t>美转加</t>
        </is>
      </c>
      <c r="B837" s="1" t="inlineStr">
        <is>
          <t>美转加</t>
        </is>
      </c>
      <c r="C837" s="1" t="inlineStr">
        <is>
          <t>Y-X7-专线</t>
        </is>
      </c>
      <c r="D837" s="1" t="inlineStr">
        <is>
          <t>义乌</t>
        </is>
      </c>
      <c r="E837" s="1" t="inlineStr">
        <is>
          <t>YVR3</t>
        </is>
      </c>
      <c r="F837" s="134" t="n">
        <v>15.48</v>
      </c>
      <c r="G837" s="1" t="inlineStr">
        <is>
          <t>RMB/KG</t>
        </is>
      </c>
      <c r="H837" s="134" t="n">
        <v>0</v>
      </c>
      <c r="I837" s="1" t="inlineStr">
        <is>
          <t>2026-10-26</t>
        </is>
      </c>
      <c r="J837" s="1" t="inlineStr">
        <is>
          <t>凯琦FBA报价_当期.xlsx</t>
        </is>
      </c>
    </row>
    <row r="838">
      <c r="A838" s="1" t="inlineStr">
        <is>
          <t>美转加</t>
        </is>
      </c>
      <c r="B838" s="1" t="inlineStr">
        <is>
          <t>美转加</t>
        </is>
      </c>
      <c r="C838" s="1" t="inlineStr">
        <is>
          <t>Y-X7-专线</t>
        </is>
      </c>
      <c r="D838" s="1" t="inlineStr">
        <is>
          <t>义乌</t>
        </is>
      </c>
      <c r="E838" s="1" t="inlineStr">
        <is>
          <t>YVR4</t>
        </is>
      </c>
      <c r="F838" s="134" t="n">
        <v>15.48</v>
      </c>
      <c r="G838" s="1" t="inlineStr">
        <is>
          <t>RMB/KG</t>
        </is>
      </c>
      <c r="H838" s="134" t="n">
        <v>0</v>
      </c>
      <c r="I838" s="1" t="inlineStr">
        <is>
          <t>2026-10-26</t>
        </is>
      </c>
      <c r="J838" s="1" t="inlineStr">
        <is>
          <t>凯琦FBA报价_当期.xlsx</t>
        </is>
      </c>
    </row>
    <row r="839">
      <c r="A839" s="1" t="inlineStr">
        <is>
          <t>美转加</t>
        </is>
      </c>
      <c r="B839" s="1" t="inlineStr">
        <is>
          <t>美转加</t>
        </is>
      </c>
      <c r="C839" s="1" t="inlineStr">
        <is>
          <t>Y-X7-专线</t>
        </is>
      </c>
      <c r="D839" s="1" t="inlineStr">
        <is>
          <t>义乌</t>
        </is>
      </c>
      <c r="E839" s="1" t="inlineStr">
        <is>
          <t>YXX2</t>
        </is>
      </c>
      <c r="F839" s="134" t="n">
        <v>15.48</v>
      </c>
      <c r="G839" s="1" t="inlineStr">
        <is>
          <t>RMB/KG</t>
        </is>
      </c>
      <c r="H839" s="134" t="n">
        <v>0</v>
      </c>
      <c r="I839" s="1" t="inlineStr">
        <is>
          <t>2026-10-26</t>
        </is>
      </c>
      <c r="J839" s="1" t="inlineStr">
        <is>
          <t>凯琦FBA报价_当期.xlsx</t>
        </is>
      </c>
    </row>
    <row r="840">
      <c r="A840" s="1" t="inlineStr">
        <is>
          <t>美转加</t>
        </is>
      </c>
      <c r="B840" s="1" t="inlineStr">
        <is>
          <t>美转加</t>
        </is>
      </c>
      <c r="C840" s="1" t="inlineStr">
        <is>
          <t>Y-X7-专线</t>
        </is>
      </c>
      <c r="D840" s="1" t="inlineStr">
        <is>
          <t>义乌</t>
        </is>
      </c>
      <c r="E840" s="1" t="inlineStr">
        <is>
          <t>YYC1</t>
        </is>
      </c>
      <c r="F840" s="134" t="n">
        <v>14.98</v>
      </c>
      <c r="G840" s="1" t="inlineStr">
        <is>
          <t>RMB/KG</t>
        </is>
      </c>
      <c r="H840" s="134" t="n">
        <v>0</v>
      </c>
      <c r="I840" s="1" t="inlineStr">
        <is>
          <t>2026-10-26</t>
        </is>
      </c>
      <c r="J840" s="1" t="inlineStr">
        <is>
          <t>凯琦FBA报价_当期.xlsx</t>
        </is>
      </c>
    </row>
    <row r="841">
      <c r="A841" s="1" t="inlineStr">
        <is>
          <t>美转加</t>
        </is>
      </c>
      <c r="B841" s="1" t="inlineStr">
        <is>
          <t>美转加</t>
        </is>
      </c>
      <c r="C841" s="1" t="inlineStr">
        <is>
          <t>Y-X7-专线</t>
        </is>
      </c>
      <c r="D841" s="1" t="inlineStr">
        <is>
          <t>义乌</t>
        </is>
      </c>
      <c r="E841" s="1" t="inlineStr">
        <is>
          <t>YYC4</t>
        </is>
      </c>
      <c r="F841" s="134" t="n">
        <v>14.98</v>
      </c>
      <c r="G841" s="1" t="inlineStr">
        <is>
          <t>RMB/KG</t>
        </is>
      </c>
      <c r="H841" s="134" t="n">
        <v>0</v>
      </c>
      <c r="I841" s="1" t="inlineStr">
        <is>
          <t>2026-10-26</t>
        </is>
      </c>
      <c r="J841" s="1" t="inlineStr">
        <is>
          <t>凯琦FBA报价_当期.xlsx</t>
        </is>
      </c>
    </row>
    <row r="842">
      <c r="A842" s="1" t="inlineStr">
        <is>
          <t>美转加</t>
        </is>
      </c>
      <c r="B842" s="1" t="inlineStr">
        <is>
          <t>美转加</t>
        </is>
      </c>
      <c r="C842" s="1" t="inlineStr">
        <is>
          <t>Y-X7-专线</t>
        </is>
      </c>
      <c r="D842" s="1" t="inlineStr">
        <is>
          <t>义乌</t>
        </is>
      </c>
      <c r="E842" s="1" t="inlineStr">
        <is>
          <t>YYC6</t>
        </is>
      </c>
      <c r="F842" s="134" t="n">
        <v>14.98</v>
      </c>
      <c r="G842" s="1" t="inlineStr">
        <is>
          <t>RMB/KG</t>
        </is>
      </c>
      <c r="H842" s="134" t="n">
        <v>0</v>
      </c>
      <c r="I842" s="1" t="inlineStr">
        <is>
          <t>2026-10-26</t>
        </is>
      </c>
      <c r="J842" s="1" t="inlineStr">
        <is>
          <t>凯琦FBA报价_当期.xlsx</t>
        </is>
      </c>
    </row>
    <row r="843">
      <c r="A843" s="1" t="inlineStr">
        <is>
          <t>美转加</t>
        </is>
      </c>
      <c r="B843" s="1" t="inlineStr">
        <is>
          <t>美转加</t>
        </is>
      </c>
      <c r="C843" s="1" t="inlineStr">
        <is>
          <t>Y-X7-专线</t>
        </is>
      </c>
      <c r="D843" s="1" t="inlineStr">
        <is>
          <t>义乌</t>
        </is>
      </c>
      <c r="E843" s="1" t="inlineStr">
        <is>
          <t>YEG1</t>
        </is>
      </c>
      <c r="F843" s="134" t="n">
        <v>15.08</v>
      </c>
      <c r="G843" s="1" t="inlineStr">
        <is>
          <t>RMB/KG</t>
        </is>
      </c>
      <c r="H843" s="134" t="n">
        <v>0</v>
      </c>
      <c r="I843" s="1" t="inlineStr">
        <is>
          <t>2026-10-26</t>
        </is>
      </c>
      <c r="J843" s="1" t="inlineStr">
        <is>
          <t>凯琦FBA报价_当期.xlsx</t>
        </is>
      </c>
    </row>
    <row r="844">
      <c r="A844" s="1" t="inlineStr">
        <is>
          <t>美转加</t>
        </is>
      </c>
      <c r="B844" s="1" t="inlineStr">
        <is>
          <t>美转加</t>
        </is>
      </c>
      <c r="C844" s="1" t="inlineStr">
        <is>
          <t>Y-X7-专线</t>
        </is>
      </c>
      <c r="D844" s="1" t="inlineStr">
        <is>
          <t>义乌</t>
        </is>
      </c>
      <c r="E844" s="1" t="inlineStr">
        <is>
          <t>YEG2</t>
        </is>
      </c>
      <c r="F844" s="134" t="n">
        <v>15.08</v>
      </c>
      <c r="G844" s="1" t="inlineStr">
        <is>
          <t>RMB/KG</t>
        </is>
      </c>
      <c r="H844" s="134" t="n">
        <v>0</v>
      </c>
      <c r="I844" s="1" t="inlineStr">
        <is>
          <t>2026-10-26</t>
        </is>
      </c>
      <c r="J844" s="1" t="inlineStr">
        <is>
          <t>凯琦FBA报价_当期.xlsx</t>
        </is>
      </c>
    </row>
    <row r="845">
      <c r="A845" s="1" t="inlineStr">
        <is>
          <t>美转加</t>
        </is>
      </c>
      <c r="B845" s="1" t="inlineStr">
        <is>
          <t>美转加</t>
        </is>
      </c>
      <c r="C845" s="1" t="inlineStr">
        <is>
          <t>Y-X7-专线</t>
        </is>
      </c>
      <c r="D845" s="1" t="inlineStr">
        <is>
          <t>义乌</t>
        </is>
      </c>
      <c r="E845" s="1" t="inlineStr">
        <is>
          <t>XYY3</t>
        </is>
      </c>
      <c r="F845" s="134" t="n">
        <v>18</v>
      </c>
      <c r="G845" s="1" t="inlineStr">
        <is>
          <t>RMB/KG</t>
        </is>
      </c>
      <c r="H845" s="134" t="n">
        <v>0</v>
      </c>
      <c r="I845" s="1" t="inlineStr">
        <is>
          <t>2026-10-26</t>
        </is>
      </c>
      <c r="J845" s="1" t="inlineStr">
        <is>
          <t>凯琦FBA报价_当期.xlsx</t>
        </is>
      </c>
    </row>
    <row r="846">
      <c r="A846" s="1" t="inlineStr">
        <is>
          <t>美转加海派</t>
        </is>
      </c>
      <c r="B846" s="1" t="inlineStr">
        <is>
          <t>美转加海派</t>
        </is>
      </c>
      <c r="C846" s="1" t="inlineStr">
        <is>
          <t>Y-X1-多伦多海派</t>
        </is>
      </c>
      <c r="D846" s="1" t="inlineStr">
        <is>
          <t>义乌</t>
        </is>
      </c>
      <c r="E846" s="1" t="inlineStr">
        <is>
          <t>YYZ3</t>
        </is>
      </c>
      <c r="F846" s="134" t="n">
        <v>18.7</v>
      </c>
      <c r="G846" s="1" t="inlineStr">
        <is>
          <t>RMB/KG</t>
        </is>
      </c>
      <c r="H846" s="134" t="n">
        <v>0</v>
      </c>
      <c r="I846" s="1" t="inlineStr">
        <is>
          <t>2026-10-26</t>
        </is>
      </c>
      <c r="J846" s="1" t="inlineStr">
        <is>
          <t>凯琦FBA报价_当期.xlsx</t>
        </is>
      </c>
    </row>
    <row r="847">
      <c r="A847" s="1" t="inlineStr">
        <is>
          <t>美转加海派</t>
        </is>
      </c>
      <c r="B847" s="1" t="inlineStr">
        <is>
          <t>美转加海派</t>
        </is>
      </c>
      <c r="C847" s="1" t="inlineStr">
        <is>
          <t>Y-X1-多伦多海派</t>
        </is>
      </c>
      <c r="D847" s="1" t="inlineStr">
        <is>
          <t>义乌</t>
        </is>
      </c>
      <c r="E847" s="1" t="inlineStr">
        <is>
          <t>YYZ4</t>
        </is>
      </c>
      <c r="F847" s="134" t="n">
        <v>18.7</v>
      </c>
      <c r="G847" s="1" t="inlineStr">
        <is>
          <t>RMB/KG</t>
        </is>
      </c>
      <c r="H847" s="134" t="n">
        <v>0</v>
      </c>
      <c r="I847" s="1" t="inlineStr">
        <is>
          <t>2026-10-26</t>
        </is>
      </c>
      <c r="J847" s="1" t="inlineStr">
        <is>
          <t>凯琦FBA报价_当期.xlsx</t>
        </is>
      </c>
    </row>
    <row r="848">
      <c r="A848" s="1" t="inlineStr">
        <is>
          <t>美转加海派</t>
        </is>
      </c>
      <c r="B848" s="1" t="inlineStr">
        <is>
          <t>美转加海派</t>
        </is>
      </c>
      <c r="C848" s="1" t="inlineStr">
        <is>
          <t>Y-X1-多伦多海派</t>
        </is>
      </c>
      <c r="D848" s="1" t="inlineStr">
        <is>
          <t>义乌</t>
        </is>
      </c>
      <c r="E848" s="1" t="inlineStr">
        <is>
          <t>YYZ1</t>
        </is>
      </c>
      <c r="F848" s="134" t="n">
        <v>18.7</v>
      </c>
      <c r="G848" s="1" t="inlineStr">
        <is>
          <t>RMB/KG</t>
        </is>
      </c>
      <c r="H848" s="134" t="n">
        <v>0</v>
      </c>
      <c r="I848" s="1" t="inlineStr">
        <is>
          <t>2026-10-26</t>
        </is>
      </c>
      <c r="J848" s="1" t="inlineStr">
        <is>
          <t>凯琦FBA报价_当期.xlsx</t>
        </is>
      </c>
    </row>
    <row r="849">
      <c r="A849" s="1" t="inlineStr">
        <is>
          <t>美转加海派</t>
        </is>
      </c>
      <c r="B849" s="1" t="inlineStr">
        <is>
          <t>美转加海派</t>
        </is>
      </c>
      <c r="C849" s="1" t="inlineStr">
        <is>
          <t>Y-X1-多伦多海派</t>
        </is>
      </c>
      <c r="D849" s="1" t="inlineStr">
        <is>
          <t>义乌</t>
        </is>
      </c>
      <c r="E849" s="1" t="inlineStr">
        <is>
          <t>YYZ6</t>
        </is>
      </c>
      <c r="F849" s="134" t="n">
        <v>18.7</v>
      </c>
      <c r="G849" s="1" t="inlineStr">
        <is>
          <t>RMB/KG</t>
        </is>
      </c>
      <c r="H849" s="134" t="n">
        <v>0</v>
      </c>
      <c r="I849" s="1" t="inlineStr">
        <is>
          <t>2026-10-26</t>
        </is>
      </c>
      <c r="J849" s="1" t="inlineStr">
        <is>
          <t>凯琦FBA报价_当期.xlsx</t>
        </is>
      </c>
    </row>
    <row r="850">
      <c r="A850" s="1" t="inlineStr">
        <is>
          <t>美转加海派</t>
        </is>
      </c>
      <c r="B850" s="1" t="inlineStr">
        <is>
          <t>美转加海派</t>
        </is>
      </c>
      <c r="C850" s="1" t="inlineStr">
        <is>
          <t>Y-X1-多伦多海派</t>
        </is>
      </c>
      <c r="D850" s="1" t="inlineStr">
        <is>
          <t>义乌</t>
        </is>
      </c>
      <c r="E850" s="1" t="inlineStr">
        <is>
          <t>YYZ7</t>
        </is>
      </c>
      <c r="F850" s="134" t="n">
        <v>18.7</v>
      </c>
      <c r="G850" s="1" t="inlineStr">
        <is>
          <t>RMB/KG</t>
        </is>
      </c>
      <c r="H850" s="134" t="n">
        <v>0</v>
      </c>
      <c r="I850" s="1" t="inlineStr">
        <is>
          <t>2026-10-26</t>
        </is>
      </c>
      <c r="J850" s="1" t="inlineStr">
        <is>
          <t>凯琦FBA报价_当期.xlsx</t>
        </is>
      </c>
    </row>
    <row r="851">
      <c r="A851" s="1" t="inlineStr">
        <is>
          <t>美转加海派</t>
        </is>
      </c>
      <c r="B851" s="1" t="inlineStr">
        <is>
          <t>美转加海派</t>
        </is>
      </c>
      <c r="C851" s="1" t="inlineStr">
        <is>
          <t>Y-X1-多伦多海派</t>
        </is>
      </c>
      <c r="D851" s="1" t="inlineStr">
        <is>
          <t>义乌</t>
        </is>
      </c>
      <c r="E851" s="1" t="inlineStr">
        <is>
          <t>YYZ9</t>
        </is>
      </c>
      <c r="F851" s="134" t="n">
        <v>18.7</v>
      </c>
      <c r="G851" s="1" t="inlineStr">
        <is>
          <t>RMB/KG</t>
        </is>
      </c>
      <c r="H851" s="134" t="n">
        <v>0</v>
      </c>
      <c r="I851" s="1" t="inlineStr">
        <is>
          <t>2026-10-26</t>
        </is>
      </c>
      <c r="J851" s="1" t="inlineStr">
        <is>
          <t>凯琦FBA报价_当期.xlsx</t>
        </is>
      </c>
    </row>
    <row r="852">
      <c r="A852" s="1" t="inlineStr">
        <is>
          <t>美转加海派</t>
        </is>
      </c>
      <c r="B852" s="1" t="inlineStr">
        <is>
          <t>美转加海派</t>
        </is>
      </c>
      <c r="C852" s="1" t="inlineStr">
        <is>
          <t>Y-X1-多伦多海派</t>
        </is>
      </c>
      <c r="D852" s="1" t="inlineStr">
        <is>
          <t>义乌</t>
        </is>
      </c>
      <c r="E852" s="1" t="inlineStr">
        <is>
          <t>YOO1</t>
        </is>
      </c>
      <c r="F852" s="134" t="n">
        <v>19.8</v>
      </c>
      <c r="G852" s="1" t="inlineStr">
        <is>
          <t>RMB/KG</t>
        </is>
      </c>
      <c r="H852" s="134" t="n">
        <v>0</v>
      </c>
      <c r="I852" s="1" t="inlineStr">
        <is>
          <t>2026-10-26</t>
        </is>
      </c>
      <c r="J852" s="1" t="inlineStr">
        <is>
          <t>凯琦FBA报价_当期.xlsx</t>
        </is>
      </c>
    </row>
    <row r="853">
      <c r="A853" s="1" t="inlineStr">
        <is>
          <t>美转加海派</t>
        </is>
      </c>
      <c r="B853" s="1" t="inlineStr">
        <is>
          <t>美转加海派</t>
        </is>
      </c>
      <c r="C853" s="1" t="inlineStr">
        <is>
          <t>Y-X1-多伦多海派</t>
        </is>
      </c>
      <c r="D853" s="1" t="inlineStr">
        <is>
          <t>义乌</t>
        </is>
      </c>
      <c r="E853" s="1" t="inlineStr">
        <is>
          <t>YHM1</t>
        </is>
      </c>
      <c r="F853" s="134" t="n">
        <v>19.8</v>
      </c>
      <c r="G853" s="1" t="inlineStr">
        <is>
          <t>RMB/KG</t>
        </is>
      </c>
      <c r="H853" s="134" t="n">
        <v>0</v>
      </c>
      <c r="I853" s="1" t="inlineStr">
        <is>
          <t>2026-10-26</t>
        </is>
      </c>
      <c r="J853" s="1" t="inlineStr">
        <is>
          <t>凯琦FBA报价_当期.xlsx</t>
        </is>
      </c>
    </row>
    <row r="854">
      <c r="A854" s="1" t="inlineStr">
        <is>
          <t>美转加海派</t>
        </is>
      </c>
      <c r="B854" s="1" t="inlineStr">
        <is>
          <t>美转加海派</t>
        </is>
      </c>
      <c r="C854" s="1" t="inlineStr">
        <is>
          <t>Y-X1-多伦多海派</t>
        </is>
      </c>
      <c r="D854" s="1" t="inlineStr">
        <is>
          <t>义乌</t>
        </is>
      </c>
      <c r="E854" s="1" t="inlineStr">
        <is>
          <t>YXU1</t>
        </is>
      </c>
      <c r="F854" s="134" t="n">
        <v>19.8</v>
      </c>
      <c r="G854" s="1" t="inlineStr">
        <is>
          <t>RMB/KG</t>
        </is>
      </c>
      <c r="H854" s="134" t="n">
        <v>0</v>
      </c>
      <c r="I854" s="1" t="inlineStr">
        <is>
          <t>2026-10-26</t>
        </is>
      </c>
      <c r="J854" s="1" t="inlineStr">
        <is>
          <t>凯琦FBA报价_当期.xlsx</t>
        </is>
      </c>
    </row>
    <row r="855">
      <c r="A855" s="1" t="inlineStr">
        <is>
          <t>美转加海派</t>
        </is>
      </c>
      <c r="B855" s="1" t="inlineStr">
        <is>
          <t>美转加海派</t>
        </is>
      </c>
      <c r="C855" s="1" t="inlineStr">
        <is>
          <t>Y-X1-多伦多海派</t>
        </is>
      </c>
      <c r="D855" s="1" t="inlineStr">
        <is>
          <t>义乌</t>
        </is>
      </c>
      <c r="E855" s="1" t="inlineStr">
        <is>
          <t>XYY1</t>
        </is>
      </c>
      <c r="F855" s="134" t="n">
        <v>19.8</v>
      </c>
      <c r="G855" s="1" t="inlineStr">
        <is>
          <t>RMB/KG</t>
        </is>
      </c>
      <c r="H855" s="134" t="n">
        <v>0</v>
      </c>
      <c r="I855" s="1" t="inlineStr">
        <is>
          <t>2026-10-26</t>
        </is>
      </c>
      <c r="J855" s="1" t="inlineStr">
        <is>
          <t>凯琦FBA报价_当期.xlsx</t>
        </is>
      </c>
    </row>
    <row r="856">
      <c r="A856" s="1" t="inlineStr">
        <is>
          <t>美转加海派</t>
        </is>
      </c>
      <c r="B856" s="1" t="inlineStr">
        <is>
          <t>美转加海派</t>
        </is>
      </c>
      <c r="C856" s="1" t="inlineStr">
        <is>
          <t>Y-X1-多伦多海派</t>
        </is>
      </c>
      <c r="D856" s="1" t="inlineStr">
        <is>
          <t>义乌</t>
        </is>
      </c>
      <c r="E856" s="1" t="inlineStr">
        <is>
          <t>YOW1</t>
        </is>
      </c>
      <c r="F856" s="134" t="n">
        <v>20.2</v>
      </c>
      <c r="G856" s="1" t="inlineStr">
        <is>
          <t>RMB/KG</t>
        </is>
      </c>
      <c r="H856" s="134" t="n">
        <v>0</v>
      </c>
      <c r="I856" s="1" t="inlineStr">
        <is>
          <t>2026-10-26</t>
        </is>
      </c>
      <c r="J856" s="1" t="inlineStr">
        <is>
          <t>凯琦FBA报价_当期.xlsx</t>
        </is>
      </c>
    </row>
    <row r="857">
      <c r="A857" s="1" t="inlineStr">
        <is>
          <t>美转加海派</t>
        </is>
      </c>
      <c r="B857" s="1" t="inlineStr">
        <is>
          <t>美转加海派</t>
        </is>
      </c>
      <c r="C857" s="1" t="inlineStr">
        <is>
          <t>Y-X1-多伦多海派</t>
        </is>
      </c>
      <c r="D857" s="1" t="inlineStr">
        <is>
          <t>义乌</t>
        </is>
      </c>
      <c r="E857" s="1" t="inlineStr">
        <is>
          <t>YOW3</t>
        </is>
      </c>
      <c r="F857" s="134" t="n">
        <v>20.2</v>
      </c>
      <c r="G857" s="1" t="inlineStr">
        <is>
          <t>RMB/KG</t>
        </is>
      </c>
      <c r="H857" s="134" t="n">
        <v>0</v>
      </c>
      <c r="I857" s="1" t="inlineStr">
        <is>
          <t>2026-10-26</t>
        </is>
      </c>
      <c r="J857" s="1" t="inlineStr">
        <is>
          <t>凯琦FBA报价_当期.xlsx</t>
        </is>
      </c>
    </row>
    <row r="858">
      <c r="A858" s="1" t="inlineStr">
        <is>
          <t>美转加海派</t>
        </is>
      </c>
      <c r="B858" s="1" t="inlineStr">
        <is>
          <t>美转加海派</t>
        </is>
      </c>
      <c r="C858" s="1" t="inlineStr">
        <is>
          <t>Y-X1-多伦多海派</t>
        </is>
      </c>
      <c r="D858" s="1" t="inlineStr">
        <is>
          <t>义乌</t>
        </is>
      </c>
      <c r="E858" s="1" t="inlineStr">
        <is>
          <t>YGK1</t>
        </is>
      </c>
      <c r="F858" s="134" t="n">
        <v>20.2</v>
      </c>
      <c r="G858" s="1" t="inlineStr">
        <is>
          <t>RMB/KG</t>
        </is>
      </c>
      <c r="H858" s="134" t="n">
        <v>0</v>
      </c>
      <c r="I858" s="1" t="inlineStr">
        <is>
          <t>2026-10-26</t>
        </is>
      </c>
      <c r="J858" s="1" t="inlineStr">
        <is>
          <t>凯琦FBA报价_当期.xlsx</t>
        </is>
      </c>
    </row>
    <row r="859">
      <c r="A859" s="1" t="inlineStr">
        <is>
          <t>美转加海派</t>
        </is>
      </c>
      <c r="B859" s="1" t="inlineStr">
        <is>
          <t>美转加海派</t>
        </is>
      </c>
      <c r="C859" s="1" t="inlineStr">
        <is>
          <t>Y-X1-多伦多海派</t>
        </is>
      </c>
      <c r="D859" s="1" t="inlineStr">
        <is>
          <t>义乌</t>
        </is>
      </c>
      <c r="E859" s="1" t="inlineStr">
        <is>
          <t>商业地址</t>
        </is>
      </c>
      <c r="F859" s="134" t="n">
        <v>22.7</v>
      </c>
      <c r="G859" s="1" t="inlineStr">
        <is>
          <t>RMB/KG</t>
        </is>
      </c>
      <c r="H859" s="134" t="n">
        <v>0</v>
      </c>
      <c r="I859" s="1" t="inlineStr">
        <is>
          <t>2026-10-26</t>
        </is>
      </c>
      <c r="J859" s="1" t="inlineStr">
        <is>
          <t>凯琦FBA报价_当期.xlsx</t>
        </is>
      </c>
    </row>
    <row r="860">
      <c r="A860" s="1" t="inlineStr">
        <is>
          <t>美转加海派</t>
        </is>
      </c>
      <c r="B860" s="1" t="inlineStr">
        <is>
          <t>美转加海派</t>
        </is>
      </c>
      <c r="C860" s="1" t="inlineStr">
        <is>
          <t>Y-X3-海派</t>
        </is>
      </c>
      <c r="D860" s="1" t="inlineStr">
        <is>
          <t>义乌</t>
        </is>
      </c>
      <c r="E860" s="1" t="inlineStr">
        <is>
          <t>YYZ3</t>
        </is>
      </c>
      <c r="F860" s="134" t="n">
        <v>21.18</v>
      </c>
      <c r="G860" s="1" t="inlineStr">
        <is>
          <t>RMB/KG</t>
        </is>
      </c>
      <c r="H860" s="134" t="n">
        <v>0</v>
      </c>
      <c r="I860" s="1" t="inlineStr">
        <is>
          <t>2026-10-26</t>
        </is>
      </c>
      <c r="J860" s="1" t="inlineStr">
        <is>
          <t>凯琦FBA报价_当期.xlsx</t>
        </is>
      </c>
    </row>
    <row r="861">
      <c r="A861" s="1" t="inlineStr">
        <is>
          <t>美转加海派</t>
        </is>
      </c>
      <c r="B861" s="1" t="inlineStr">
        <is>
          <t>美转加海派</t>
        </is>
      </c>
      <c r="C861" s="1" t="inlineStr">
        <is>
          <t>Y-X3-海派</t>
        </is>
      </c>
      <c r="D861" s="1" t="inlineStr">
        <is>
          <t>义乌</t>
        </is>
      </c>
      <c r="E861" s="1" t="inlineStr">
        <is>
          <t>YYZ4</t>
        </is>
      </c>
      <c r="F861" s="134" t="n">
        <v>21.18</v>
      </c>
      <c r="G861" s="1" t="inlineStr">
        <is>
          <t>RMB/KG</t>
        </is>
      </c>
      <c r="H861" s="134" t="n">
        <v>0</v>
      </c>
      <c r="I861" s="1" t="inlineStr">
        <is>
          <t>2026-10-26</t>
        </is>
      </c>
      <c r="J861" s="1" t="inlineStr">
        <is>
          <t>凯琦FBA报价_当期.xlsx</t>
        </is>
      </c>
    </row>
    <row r="862">
      <c r="A862" s="1" t="inlineStr">
        <is>
          <t>美转加海派</t>
        </is>
      </c>
      <c r="B862" s="1" t="inlineStr">
        <is>
          <t>美转加海派</t>
        </is>
      </c>
      <c r="C862" s="1" t="inlineStr">
        <is>
          <t>Y-X3-海派</t>
        </is>
      </c>
      <c r="D862" s="1" t="inlineStr">
        <is>
          <t>义乌</t>
        </is>
      </c>
      <c r="E862" s="1" t="inlineStr">
        <is>
          <t>YYZ1</t>
        </is>
      </c>
      <c r="F862" s="134" t="n">
        <v>21.18</v>
      </c>
      <c r="G862" s="1" t="inlineStr">
        <is>
          <t>RMB/KG</t>
        </is>
      </c>
      <c r="H862" s="134" t="n">
        <v>0</v>
      </c>
      <c r="I862" s="1" t="inlineStr">
        <is>
          <t>2026-10-26</t>
        </is>
      </c>
      <c r="J862" s="1" t="inlineStr">
        <is>
          <t>凯琦FBA报价_当期.xlsx</t>
        </is>
      </c>
    </row>
    <row r="863">
      <c r="A863" s="1" t="inlineStr">
        <is>
          <t>美转加海派</t>
        </is>
      </c>
      <c r="B863" s="1" t="inlineStr">
        <is>
          <t>美转加海派</t>
        </is>
      </c>
      <c r="C863" s="1" t="inlineStr">
        <is>
          <t>Y-X3-海派</t>
        </is>
      </c>
      <c r="D863" s="1" t="inlineStr">
        <is>
          <t>义乌</t>
        </is>
      </c>
      <c r="E863" s="1" t="inlineStr">
        <is>
          <t>YYZ6</t>
        </is>
      </c>
      <c r="F863" s="134" t="n">
        <v>21.18</v>
      </c>
      <c r="G863" s="1" t="inlineStr">
        <is>
          <t>RMB/KG</t>
        </is>
      </c>
      <c r="H863" s="134" t="n">
        <v>0</v>
      </c>
      <c r="I863" s="1" t="inlineStr">
        <is>
          <t>2026-10-26</t>
        </is>
      </c>
      <c r="J863" s="1" t="inlineStr">
        <is>
          <t>凯琦FBA报价_当期.xlsx</t>
        </is>
      </c>
    </row>
    <row r="864">
      <c r="A864" s="1" t="inlineStr">
        <is>
          <t>美转加海派</t>
        </is>
      </c>
      <c r="B864" s="1" t="inlineStr">
        <is>
          <t>美转加海派</t>
        </is>
      </c>
      <c r="C864" s="1" t="inlineStr">
        <is>
          <t>Y-X3-海派</t>
        </is>
      </c>
      <c r="D864" s="1" t="inlineStr">
        <is>
          <t>义乌</t>
        </is>
      </c>
      <c r="E864" s="1" t="inlineStr">
        <is>
          <t>YYZ7</t>
        </is>
      </c>
      <c r="F864" s="134" t="n">
        <v>21.18</v>
      </c>
      <c r="G864" s="1" t="inlineStr">
        <is>
          <t>RMB/KG</t>
        </is>
      </c>
      <c r="H864" s="134" t="n">
        <v>0</v>
      </c>
      <c r="I864" s="1" t="inlineStr">
        <is>
          <t>2026-10-26</t>
        </is>
      </c>
      <c r="J864" s="1" t="inlineStr">
        <is>
          <t>凯琦FBA报价_当期.xlsx</t>
        </is>
      </c>
    </row>
    <row r="865">
      <c r="A865" s="1" t="inlineStr">
        <is>
          <t>美转加海派</t>
        </is>
      </c>
      <c r="B865" s="1" t="inlineStr">
        <is>
          <t>美转加海派</t>
        </is>
      </c>
      <c r="C865" s="1" t="inlineStr">
        <is>
          <t>Y-X3-海派</t>
        </is>
      </c>
      <c r="D865" s="1" t="inlineStr">
        <is>
          <t>义乌</t>
        </is>
      </c>
      <c r="E865" s="1" t="inlineStr">
        <is>
          <t>YYZ9</t>
        </is>
      </c>
      <c r="F865" s="134" t="n">
        <v>21.18</v>
      </c>
      <c r="G865" s="1" t="inlineStr">
        <is>
          <t>RMB/KG</t>
        </is>
      </c>
      <c r="H865" s="134" t="n">
        <v>0</v>
      </c>
      <c r="I865" s="1" t="inlineStr">
        <is>
          <t>2026-10-26</t>
        </is>
      </c>
      <c r="J865" s="1" t="inlineStr">
        <is>
          <t>凯琦FBA报价_当期.xlsx</t>
        </is>
      </c>
    </row>
    <row r="866">
      <c r="A866" s="1" t="inlineStr">
        <is>
          <t>美转加海派</t>
        </is>
      </c>
      <c r="B866" s="1" t="inlineStr">
        <is>
          <t>美转加海派</t>
        </is>
      </c>
      <c r="C866" s="1" t="inlineStr">
        <is>
          <t>Y-X3-海派</t>
        </is>
      </c>
      <c r="D866" s="1" t="inlineStr">
        <is>
          <t>义乌</t>
        </is>
      </c>
      <c r="E866" s="1" t="inlineStr">
        <is>
          <t>YOO1</t>
        </is>
      </c>
      <c r="F866" s="134" t="n">
        <v>22.28</v>
      </c>
      <c r="G866" s="1" t="inlineStr">
        <is>
          <t>RMB/KG</t>
        </is>
      </c>
      <c r="H866" s="134" t="n">
        <v>0</v>
      </c>
      <c r="I866" s="1" t="inlineStr">
        <is>
          <t>2026-10-26</t>
        </is>
      </c>
      <c r="J866" s="1" t="inlineStr">
        <is>
          <t>凯琦FBA报价_当期.xlsx</t>
        </is>
      </c>
    </row>
    <row r="867">
      <c r="A867" s="1" t="inlineStr">
        <is>
          <t>美转加海派</t>
        </is>
      </c>
      <c r="B867" s="1" t="inlineStr">
        <is>
          <t>美转加海派</t>
        </is>
      </c>
      <c r="C867" s="1" t="inlineStr">
        <is>
          <t>Y-X3-海派</t>
        </is>
      </c>
      <c r="D867" s="1" t="inlineStr">
        <is>
          <t>义乌</t>
        </is>
      </c>
      <c r="E867" s="1" t="inlineStr">
        <is>
          <t>YHM1</t>
        </is>
      </c>
      <c r="F867" s="134" t="n">
        <v>22.28</v>
      </c>
      <c r="G867" s="1" t="inlineStr">
        <is>
          <t>RMB/KG</t>
        </is>
      </c>
      <c r="H867" s="134" t="n">
        <v>0</v>
      </c>
      <c r="I867" s="1" t="inlineStr">
        <is>
          <t>2026-10-26</t>
        </is>
      </c>
      <c r="J867" s="1" t="inlineStr">
        <is>
          <t>凯琦FBA报价_当期.xlsx</t>
        </is>
      </c>
    </row>
    <row r="868">
      <c r="A868" s="1" t="inlineStr">
        <is>
          <t>美转加海派</t>
        </is>
      </c>
      <c r="B868" s="1" t="inlineStr">
        <is>
          <t>美转加海派</t>
        </is>
      </c>
      <c r="C868" s="1" t="inlineStr">
        <is>
          <t>Y-X3-海派</t>
        </is>
      </c>
      <c r="D868" s="1" t="inlineStr">
        <is>
          <t>义乌</t>
        </is>
      </c>
      <c r="E868" s="1" t="inlineStr">
        <is>
          <t>YXU1</t>
        </is>
      </c>
      <c r="F868" s="134" t="n">
        <v>22.28</v>
      </c>
      <c r="G868" s="1" t="inlineStr">
        <is>
          <t>RMB/KG</t>
        </is>
      </c>
      <c r="H868" s="134" t="n">
        <v>0</v>
      </c>
      <c r="I868" s="1" t="inlineStr">
        <is>
          <t>2026-10-26</t>
        </is>
      </c>
      <c r="J868" s="1" t="inlineStr">
        <is>
          <t>凯琦FBA报价_当期.xlsx</t>
        </is>
      </c>
    </row>
    <row r="869">
      <c r="A869" s="1" t="inlineStr">
        <is>
          <t>美转加海派</t>
        </is>
      </c>
      <c r="B869" s="1" t="inlineStr">
        <is>
          <t>美转加海派</t>
        </is>
      </c>
      <c r="C869" s="1" t="inlineStr">
        <is>
          <t>Y-X3-海派</t>
        </is>
      </c>
      <c r="D869" s="1" t="inlineStr">
        <is>
          <t>义乌</t>
        </is>
      </c>
      <c r="E869" s="1" t="inlineStr">
        <is>
          <t>XYY1</t>
        </is>
      </c>
      <c r="F869" s="134" t="n">
        <v>22.28</v>
      </c>
      <c r="G869" s="1" t="inlineStr">
        <is>
          <t>RMB/KG</t>
        </is>
      </c>
      <c r="H869" s="134" t="n">
        <v>0</v>
      </c>
      <c r="I869" s="1" t="inlineStr">
        <is>
          <t>2026-10-26</t>
        </is>
      </c>
      <c r="J869" s="1" t="inlineStr">
        <is>
          <t>凯琦FBA报价_当期.xlsx</t>
        </is>
      </c>
    </row>
    <row r="870">
      <c r="A870" s="1" t="inlineStr">
        <is>
          <t>美转加海派</t>
        </is>
      </c>
      <c r="B870" s="1" t="inlineStr">
        <is>
          <t>美转加海派</t>
        </is>
      </c>
      <c r="C870" s="1" t="inlineStr">
        <is>
          <t>Y-X3-海派</t>
        </is>
      </c>
      <c r="D870" s="1" t="inlineStr">
        <is>
          <t>义乌</t>
        </is>
      </c>
      <c r="E870" s="1" t="inlineStr">
        <is>
          <t>YOW1</t>
        </is>
      </c>
      <c r="F870" s="134" t="n">
        <v>22.78</v>
      </c>
      <c r="G870" s="1" t="inlineStr">
        <is>
          <t>RMB/KG</t>
        </is>
      </c>
      <c r="H870" s="134" t="n">
        <v>0</v>
      </c>
      <c r="I870" s="1" t="inlineStr">
        <is>
          <t>2026-10-26</t>
        </is>
      </c>
      <c r="J870" s="1" t="inlineStr">
        <is>
          <t>凯琦FBA报价_当期.xlsx</t>
        </is>
      </c>
    </row>
    <row r="871">
      <c r="A871" s="1" t="inlineStr">
        <is>
          <t>美转加海派</t>
        </is>
      </c>
      <c r="B871" s="1" t="inlineStr">
        <is>
          <t>美转加海派</t>
        </is>
      </c>
      <c r="C871" s="1" t="inlineStr">
        <is>
          <t>Y-X3-海派</t>
        </is>
      </c>
      <c r="D871" s="1" t="inlineStr">
        <is>
          <t>义乌</t>
        </is>
      </c>
      <c r="E871" s="1" t="inlineStr">
        <is>
          <t>YOW3</t>
        </is>
      </c>
      <c r="F871" s="134" t="n">
        <v>22.78</v>
      </c>
      <c r="G871" s="1" t="inlineStr">
        <is>
          <t>RMB/KG</t>
        </is>
      </c>
      <c r="H871" s="134" t="n">
        <v>0</v>
      </c>
      <c r="I871" s="1" t="inlineStr">
        <is>
          <t>2026-10-26</t>
        </is>
      </c>
      <c r="J871" s="1" t="inlineStr">
        <is>
          <t>凯琦FBA报价_当期.xlsx</t>
        </is>
      </c>
    </row>
    <row r="872">
      <c r="A872" s="1" t="inlineStr">
        <is>
          <t>美转加海派</t>
        </is>
      </c>
      <c r="B872" s="1" t="inlineStr">
        <is>
          <t>美转加海派</t>
        </is>
      </c>
      <c r="C872" s="1" t="inlineStr">
        <is>
          <t>Y-X3-海派</t>
        </is>
      </c>
      <c r="D872" s="1" t="inlineStr">
        <is>
          <t>义乌</t>
        </is>
      </c>
      <c r="E872" s="1" t="inlineStr">
        <is>
          <t>YGK1</t>
        </is>
      </c>
      <c r="F872" s="134" t="n">
        <v>22.78</v>
      </c>
      <c r="G872" s="1" t="inlineStr">
        <is>
          <t>RMB/KG</t>
        </is>
      </c>
      <c r="H872" s="134" t="n">
        <v>0</v>
      </c>
      <c r="I872" s="1" t="inlineStr">
        <is>
          <t>2026-10-26</t>
        </is>
      </c>
      <c r="J872" s="1" t="inlineStr">
        <is>
          <t>凯琦FBA报价_当期.xlsx</t>
        </is>
      </c>
    </row>
    <row r="873">
      <c r="A873" s="1" t="inlineStr">
        <is>
          <t>美转加海派</t>
        </is>
      </c>
      <c r="B873" s="1" t="inlineStr">
        <is>
          <t>美转加海派</t>
        </is>
      </c>
      <c r="C873" s="1" t="inlineStr">
        <is>
          <t>Y-X3-海派</t>
        </is>
      </c>
      <c r="D873" s="1" t="inlineStr">
        <is>
          <t>义乌</t>
        </is>
      </c>
      <c r="E873" s="1" t="inlineStr">
        <is>
          <t>商业地址</t>
        </is>
      </c>
      <c r="F873" s="134" t="n">
        <v>25.28</v>
      </c>
      <c r="G873" s="1" t="inlineStr">
        <is>
          <t>RMB/KG</t>
        </is>
      </c>
      <c r="H873" s="134" t="n">
        <v>0</v>
      </c>
      <c r="I873" s="1" t="inlineStr">
        <is>
          <t>2026-10-26</t>
        </is>
      </c>
      <c r="J873" s="1" t="inlineStr">
        <is>
          <t>凯琦FBA报价_当期.xlsx</t>
        </is>
      </c>
    </row>
    <row r="874">
      <c r="A874" s="1" t="inlineStr">
        <is>
          <t>美转加海派</t>
        </is>
      </c>
      <c r="B874" s="1" t="inlineStr">
        <is>
          <t>美转加海派</t>
        </is>
      </c>
      <c r="C874" s="1" t="inlineStr">
        <is>
          <t>Y-X3-海派</t>
        </is>
      </c>
      <c r="D874" s="1" t="inlineStr">
        <is>
          <t>义乌</t>
        </is>
      </c>
      <c r="E874" s="1" t="inlineStr">
        <is>
          <t>YVR1</t>
        </is>
      </c>
      <c r="F874" s="134" t="n">
        <v>22.78</v>
      </c>
      <c r="G874" s="1" t="inlineStr">
        <is>
          <t>RMB/KG</t>
        </is>
      </c>
      <c r="H874" s="134" t="n">
        <v>0</v>
      </c>
      <c r="I874" s="1" t="inlineStr">
        <is>
          <t>2026-10-26</t>
        </is>
      </c>
      <c r="J874" s="1" t="inlineStr">
        <is>
          <t>凯琦FBA报价_当期.xlsx</t>
        </is>
      </c>
    </row>
    <row r="875">
      <c r="A875" s="1" t="inlineStr">
        <is>
          <t>美转加海派</t>
        </is>
      </c>
      <c r="B875" s="1" t="inlineStr">
        <is>
          <t>美转加海派</t>
        </is>
      </c>
      <c r="C875" s="1" t="inlineStr">
        <is>
          <t>Y-X3-海派</t>
        </is>
      </c>
      <c r="D875" s="1" t="inlineStr">
        <is>
          <t>义乌</t>
        </is>
      </c>
      <c r="E875" s="1" t="inlineStr">
        <is>
          <t>YVR2</t>
        </is>
      </c>
      <c r="F875" s="134" t="n">
        <v>22.78</v>
      </c>
      <c r="G875" s="1" t="inlineStr">
        <is>
          <t>RMB/KG</t>
        </is>
      </c>
      <c r="H875" s="134" t="n">
        <v>0</v>
      </c>
      <c r="I875" s="1" t="inlineStr">
        <is>
          <t>2026-10-26</t>
        </is>
      </c>
      <c r="J875" s="1" t="inlineStr">
        <is>
          <t>凯琦FBA报价_当期.xlsx</t>
        </is>
      </c>
    </row>
    <row r="876">
      <c r="A876" s="1" t="inlineStr">
        <is>
          <t>美转加海派</t>
        </is>
      </c>
      <c r="B876" s="1" t="inlineStr">
        <is>
          <t>美转加海派</t>
        </is>
      </c>
      <c r="C876" s="1" t="inlineStr">
        <is>
          <t>Y-X3-海派</t>
        </is>
      </c>
      <c r="D876" s="1" t="inlineStr">
        <is>
          <t>义乌</t>
        </is>
      </c>
      <c r="E876" s="1" t="inlineStr">
        <is>
          <t>YVR3</t>
        </is>
      </c>
      <c r="F876" s="134" t="n">
        <v>22.78</v>
      </c>
      <c r="G876" s="1" t="inlineStr">
        <is>
          <t>RMB/KG</t>
        </is>
      </c>
      <c r="H876" s="134" t="n">
        <v>0</v>
      </c>
      <c r="I876" s="1" t="inlineStr">
        <is>
          <t>2026-10-26</t>
        </is>
      </c>
      <c r="J876" s="1" t="inlineStr">
        <is>
          <t>凯琦FBA报价_当期.xlsx</t>
        </is>
      </c>
    </row>
    <row r="877">
      <c r="A877" s="1" t="inlineStr">
        <is>
          <t>美转加海派</t>
        </is>
      </c>
      <c r="B877" s="1" t="inlineStr">
        <is>
          <t>美转加海派</t>
        </is>
      </c>
      <c r="C877" s="1" t="inlineStr">
        <is>
          <t>Y-X3-海派</t>
        </is>
      </c>
      <c r="D877" s="1" t="inlineStr">
        <is>
          <t>义乌</t>
        </is>
      </c>
      <c r="E877" s="1" t="inlineStr">
        <is>
          <t>YVR4</t>
        </is>
      </c>
      <c r="F877" s="134" t="n">
        <v>22.78</v>
      </c>
      <c r="G877" s="1" t="inlineStr">
        <is>
          <t>RMB/KG</t>
        </is>
      </c>
      <c r="H877" s="134" t="n">
        <v>0</v>
      </c>
      <c r="I877" s="1" t="inlineStr">
        <is>
          <t>2026-10-26</t>
        </is>
      </c>
      <c r="J877" s="1" t="inlineStr">
        <is>
          <t>凯琦FBA报价_当期.xlsx</t>
        </is>
      </c>
    </row>
    <row r="878">
      <c r="A878" s="1" t="inlineStr">
        <is>
          <t>美转加海派</t>
        </is>
      </c>
      <c r="B878" s="1" t="inlineStr">
        <is>
          <t>美转加海派</t>
        </is>
      </c>
      <c r="C878" s="1" t="inlineStr">
        <is>
          <t>Y-X3-海派</t>
        </is>
      </c>
      <c r="D878" s="1" t="inlineStr">
        <is>
          <t>义乌</t>
        </is>
      </c>
      <c r="E878" s="1" t="inlineStr">
        <is>
          <t>YXX2</t>
        </is>
      </c>
      <c r="F878" s="134" t="n">
        <v>22.78</v>
      </c>
      <c r="G878" s="1" t="inlineStr">
        <is>
          <t>RMB/KG</t>
        </is>
      </c>
      <c r="H878" s="134" t="n">
        <v>0</v>
      </c>
      <c r="I878" s="1" t="inlineStr">
        <is>
          <t>2026-10-26</t>
        </is>
      </c>
      <c r="J878" s="1" t="inlineStr">
        <is>
          <t>凯琦FBA报价_当期.xlsx</t>
        </is>
      </c>
    </row>
    <row r="879">
      <c r="A879" s="1" t="inlineStr">
        <is>
          <t>美转加海派</t>
        </is>
      </c>
      <c r="B879" s="1" t="inlineStr">
        <is>
          <t>美转加海派</t>
        </is>
      </c>
      <c r="C879" s="1" t="inlineStr">
        <is>
          <t>Y-X3-海派</t>
        </is>
      </c>
      <c r="D879" s="1" t="inlineStr">
        <is>
          <t>义乌</t>
        </is>
      </c>
      <c r="E879" s="1" t="inlineStr">
        <is>
          <t>YYC1</t>
        </is>
      </c>
      <c r="F879" s="134" t="n">
        <v>22.28</v>
      </c>
      <c r="G879" s="1" t="inlineStr">
        <is>
          <t>RMB/KG</t>
        </is>
      </c>
      <c r="H879" s="134" t="n">
        <v>0</v>
      </c>
      <c r="I879" s="1" t="inlineStr">
        <is>
          <t>2026-10-26</t>
        </is>
      </c>
      <c r="J879" s="1" t="inlineStr">
        <is>
          <t>凯琦FBA报价_当期.xlsx</t>
        </is>
      </c>
    </row>
    <row r="880">
      <c r="A880" s="1" t="inlineStr">
        <is>
          <t>美转加海派</t>
        </is>
      </c>
      <c r="B880" s="1" t="inlineStr">
        <is>
          <t>美转加海派</t>
        </is>
      </c>
      <c r="C880" s="1" t="inlineStr">
        <is>
          <t>Y-X3-海派</t>
        </is>
      </c>
      <c r="D880" s="1" t="inlineStr">
        <is>
          <t>义乌</t>
        </is>
      </c>
      <c r="E880" s="1" t="inlineStr">
        <is>
          <t>YYC4</t>
        </is>
      </c>
      <c r="F880" s="134" t="n">
        <v>22.28</v>
      </c>
      <c r="G880" s="1" t="inlineStr">
        <is>
          <t>RMB/KG</t>
        </is>
      </c>
      <c r="H880" s="134" t="n">
        <v>0</v>
      </c>
      <c r="I880" s="1" t="inlineStr">
        <is>
          <t>2026-10-26</t>
        </is>
      </c>
      <c r="J880" s="1" t="inlineStr">
        <is>
          <t>凯琦FBA报价_当期.xlsx</t>
        </is>
      </c>
    </row>
    <row r="881">
      <c r="A881" s="1" t="inlineStr">
        <is>
          <t>美转加海派</t>
        </is>
      </c>
      <c r="B881" s="1" t="inlineStr">
        <is>
          <t>美转加海派</t>
        </is>
      </c>
      <c r="C881" s="1" t="inlineStr">
        <is>
          <t>Y-X3-海派</t>
        </is>
      </c>
      <c r="D881" s="1" t="inlineStr">
        <is>
          <t>义乌</t>
        </is>
      </c>
      <c r="E881" s="1" t="inlineStr">
        <is>
          <t>YYC6</t>
        </is>
      </c>
      <c r="F881" s="134" t="n">
        <v>22.28</v>
      </c>
      <c r="G881" s="1" t="inlineStr">
        <is>
          <t>RMB/KG</t>
        </is>
      </c>
      <c r="H881" s="134" t="n">
        <v>0</v>
      </c>
      <c r="I881" s="1" t="inlineStr">
        <is>
          <t>2026-10-26</t>
        </is>
      </c>
      <c r="J881" s="1" t="inlineStr">
        <is>
          <t>凯琦FBA报价_当期.xlsx</t>
        </is>
      </c>
    </row>
    <row r="882">
      <c r="A882" s="1" t="inlineStr">
        <is>
          <t>美转加海派</t>
        </is>
      </c>
      <c r="B882" s="1" t="inlineStr">
        <is>
          <t>美转加海派</t>
        </is>
      </c>
      <c r="C882" s="1" t="inlineStr">
        <is>
          <t>Y-X3-海派</t>
        </is>
      </c>
      <c r="D882" s="1" t="inlineStr">
        <is>
          <t>义乌</t>
        </is>
      </c>
      <c r="E882" s="1" t="inlineStr">
        <is>
          <t>YEG1</t>
        </is>
      </c>
      <c r="F882" s="134" t="n">
        <v>22.28</v>
      </c>
      <c r="G882" s="1" t="inlineStr">
        <is>
          <t>RMB/KG</t>
        </is>
      </c>
      <c r="H882" s="134" t="n">
        <v>0</v>
      </c>
      <c r="I882" s="1" t="inlineStr">
        <is>
          <t>2026-10-26</t>
        </is>
      </c>
      <c r="J882" s="1" t="inlineStr">
        <is>
          <t>凯琦FBA报价_当期.xlsx</t>
        </is>
      </c>
    </row>
    <row r="883">
      <c r="A883" s="1" t="inlineStr">
        <is>
          <t>美转加海派</t>
        </is>
      </c>
      <c r="B883" s="1" t="inlineStr">
        <is>
          <t>美转加海派</t>
        </is>
      </c>
      <c r="C883" s="1" t="inlineStr">
        <is>
          <t>Y-X3-海派</t>
        </is>
      </c>
      <c r="D883" s="1" t="inlineStr">
        <is>
          <t>义乌</t>
        </is>
      </c>
      <c r="E883" s="1" t="inlineStr">
        <is>
          <t>YEG2</t>
        </is>
      </c>
      <c r="F883" s="134" t="n">
        <v>22.28</v>
      </c>
      <c r="G883" s="1" t="inlineStr">
        <is>
          <t>RMB/KG</t>
        </is>
      </c>
      <c r="H883" s="134" t="n">
        <v>0</v>
      </c>
      <c r="I883" s="1" t="inlineStr">
        <is>
          <t>2026-10-26</t>
        </is>
      </c>
      <c r="J883" s="1" t="inlineStr">
        <is>
          <t>凯琦FBA报价_当期.xlsx</t>
        </is>
      </c>
    </row>
    <row r="884">
      <c r="A884" s="1" t="inlineStr">
        <is>
          <t>美转加海派</t>
        </is>
      </c>
      <c r="B884" s="1" t="inlineStr">
        <is>
          <t>美转加海派</t>
        </is>
      </c>
      <c r="C884" s="1" t="inlineStr">
        <is>
          <t>Y-X7-海派</t>
        </is>
      </c>
      <c r="D884" s="1" t="inlineStr">
        <is>
          <t>义乌</t>
        </is>
      </c>
      <c r="E884" s="1" t="inlineStr">
        <is>
          <t>YYZ3</t>
        </is>
      </c>
      <c r="F884" s="134" t="n">
        <v>25.78</v>
      </c>
      <c r="G884" s="1" t="inlineStr">
        <is>
          <t>RMB/KG</t>
        </is>
      </c>
      <c r="H884" s="134" t="n">
        <v>0</v>
      </c>
      <c r="I884" s="1" t="inlineStr">
        <is>
          <t>2026-10-26</t>
        </is>
      </c>
      <c r="J884" s="1" t="inlineStr">
        <is>
          <t>凯琦FBA报价_当期.xlsx</t>
        </is>
      </c>
    </row>
    <row r="885">
      <c r="A885" s="1" t="inlineStr">
        <is>
          <t>美转加海派</t>
        </is>
      </c>
      <c r="B885" s="1" t="inlineStr">
        <is>
          <t>美转加海派</t>
        </is>
      </c>
      <c r="C885" s="1" t="inlineStr">
        <is>
          <t>Y-X7-海派</t>
        </is>
      </c>
      <c r="D885" s="1" t="inlineStr">
        <is>
          <t>义乌</t>
        </is>
      </c>
      <c r="E885" s="1" t="inlineStr">
        <is>
          <t>YYZ4</t>
        </is>
      </c>
      <c r="F885" s="134" t="n">
        <v>25.78</v>
      </c>
      <c r="G885" s="1" t="inlineStr">
        <is>
          <t>RMB/KG</t>
        </is>
      </c>
      <c r="H885" s="134" t="n">
        <v>0</v>
      </c>
      <c r="I885" s="1" t="inlineStr">
        <is>
          <t>2026-10-26</t>
        </is>
      </c>
      <c r="J885" s="1" t="inlineStr">
        <is>
          <t>凯琦FBA报价_当期.xlsx</t>
        </is>
      </c>
    </row>
    <row r="886">
      <c r="A886" s="1" t="inlineStr">
        <is>
          <t>美转加海派</t>
        </is>
      </c>
      <c r="B886" s="1" t="inlineStr">
        <is>
          <t>美转加海派</t>
        </is>
      </c>
      <c r="C886" s="1" t="inlineStr">
        <is>
          <t>Y-X7-海派</t>
        </is>
      </c>
      <c r="D886" s="1" t="inlineStr">
        <is>
          <t>义乌</t>
        </is>
      </c>
      <c r="E886" s="1" t="inlineStr">
        <is>
          <t>YYZ1</t>
        </is>
      </c>
      <c r="F886" s="134" t="n">
        <v>25.78</v>
      </c>
      <c r="G886" s="1" t="inlineStr">
        <is>
          <t>RMB/KG</t>
        </is>
      </c>
      <c r="H886" s="134" t="n">
        <v>0</v>
      </c>
      <c r="I886" s="1" t="inlineStr">
        <is>
          <t>2026-10-26</t>
        </is>
      </c>
      <c r="J886" s="1" t="inlineStr">
        <is>
          <t>凯琦FBA报价_当期.xlsx</t>
        </is>
      </c>
    </row>
    <row r="887">
      <c r="A887" s="1" t="inlineStr">
        <is>
          <t>美转加海派</t>
        </is>
      </c>
      <c r="B887" s="1" t="inlineStr">
        <is>
          <t>美转加海派</t>
        </is>
      </c>
      <c r="C887" s="1" t="inlineStr">
        <is>
          <t>Y-X7-海派</t>
        </is>
      </c>
      <c r="D887" s="1" t="inlineStr">
        <is>
          <t>义乌</t>
        </is>
      </c>
      <c r="E887" s="1" t="inlineStr">
        <is>
          <t>YYZ6</t>
        </is>
      </c>
      <c r="F887" s="134" t="n">
        <v>25.78</v>
      </c>
      <c r="G887" s="1" t="inlineStr">
        <is>
          <t>RMB/KG</t>
        </is>
      </c>
      <c r="H887" s="134" t="n">
        <v>0</v>
      </c>
      <c r="I887" s="1" t="inlineStr">
        <is>
          <t>2026-10-26</t>
        </is>
      </c>
      <c r="J887" s="1" t="inlineStr">
        <is>
          <t>凯琦FBA报价_当期.xlsx</t>
        </is>
      </c>
    </row>
    <row r="888">
      <c r="A888" s="1" t="inlineStr">
        <is>
          <t>美转加海派</t>
        </is>
      </c>
      <c r="B888" s="1" t="inlineStr">
        <is>
          <t>美转加海派</t>
        </is>
      </c>
      <c r="C888" s="1" t="inlineStr">
        <is>
          <t>Y-X7-海派</t>
        </is>
      </c>
      <c r="D888" s="1" t="inlineStr">
        <is>
          <t>义乌</t>
        </is>
      </c>
      <c r="E888" s="1" t="inlineStr">
        <is>
          <t>YYZ7</t>
        </is>
      </c>
      <c r="F888" s="134" t="n">
        <v>25.78</v>
      </c>
      <c r="G888" s="1" t="inlineStr">
        <is>
          <t>RMB/KG</t>
        </is>
      </c>
      <c r="H888" s="134" t="n">
        <v>0</v>
      </c>
      <c r="I888" s="1" t="inlineStr">
        <is>
          <t>2026-10-26</t>
        </is>
      </c>
      <c r="J888" s="1" t="inlineStr">
        <is>
          <t>凯琦FBA报价_当期.xlsx</t>
        </is>
      </c>
    </row>
    <row r="889">
      <c r="A889" s="1" t="inlineStr">
        <is>
          <t>美转加海派</t>
        </is>
      </c>
      <c r="B889" s="1" t="inlineStr">
        <is>
          <t>美转加海派</t>
        </is>
      </c>
      <c r="C889" s="1" t="inlineStr">
        <is>
          <t>Y-X7-海派</t>
        </is>
      </c>
      <c r="D889" s="1" t="inlineStr">
        <is>
          <t>义乌</t>
        </is>
      </c>
      <c r="E889" s="1" t="inlineStr">
        <is>
          <t>YYZ9</t>
        </is>
      </c>
      <c r="F889" s="134" t="n">
        <v>25.78</v>
      </c>
      <c r="G889" s="1" t="inlineStr">
        <is>
          <t>RMB/KG</t>
        </is>
      </c>
      <c r="H889" s="134" t="n">
        <v>0</v>
      </c>
      <c r="I889" s="1" t="inlineStr">
        <is>
          <t>2026-10-26</t>
        </is>
      </c>
      <c r="J889" s="1" t="inlineStr">
        <is>
          <t>凯琦FBA报价_当期.xlsx</t>
        </is>
      </c>
    </row>
    <row r="890">
      <c r="A890" s="1" t="inlineStr">
        <is>
          <t>美转加海派</t>
        </is>
      </c>
      <c r="B890" s="1" t="inlineStr">
        <is>
          <t>美转加海派</t>
        </is>
      </c>
      <c r="C890" s="1" t="inlineStr">
        <is>
          <t>Y-X7-海派</t>
        </is>
      </c>
      <c r="D890" s="1" t="inlineStr">
        <is>
          <t>义乌</t>
        </is>
      </c>
      <c r="E890" s="1" t="inlineStr">
        <is>
          <t>YOO1</t>
        </is>
      </c>
      <c r="F890" s="134" t="n">
        <v>26.88</v>
      </c>
      <c r="G890" s="1" t="inlineStr">
        <is>
          <t>RMB/KG</t>
        </is>
      </c>
      <c r="H890" s="134" t="n">
        <v>0</v>
      </c>
      <c r="I890" s="1" t="inlineStr">
        <is>
          <t>2026-10-26</t>
        </is>
      </c>
      <c r="J890" s="1" t="inlineStr">
        <is>
          <t>凯琦FBA报价_当期.xlsx</t>
        </is>
      </c>
    </row>
    <row r="891">
      <c r="A891" s="1" t="inlineStr">
        <is>
          <t>美转加海派</t>
        </is>
      </c>
      <c r="B891" s="1" t="inlineStr">
        <is>
          <t>美转加海派</t>
        </is>
      </c>
      <c r="C891" s="1" t="inlineStr">
        <is>
          <t>Y-X7-海派</t>
        </is>
      </c>
      <c r="D891" s="1" t="inlineStr">
        <is>
          <t>义乌</t>
        </is>
      </c>
      <c r="E891" s="1" t="inlineStr">
        <is>
          <t>YHM1</t>
        </is>
      </c>
      <c r="F891" s="134" t="n">
        <v>26.88</v>
      </c>
      <c r="G891" s="1" t="inlineStr">
        <is>
          <t>RMB/KG</t>
        </is>
      </c>
      <c r="H891" s="134" t="n">
        <v>0</v>
      </c>
      <c r="I891" s="1" t="inlineStr">
        <is>
          <t>2026-10-26</t>
        </is>
      </c>
      <c r="J891" s="1" t="inlineStr">
        <is>
          <t>凯琦FBA报价_当期.xlsx</t>
        </is>
      </c>
    </row>
    <row r="892">
      <c r="A892" s="1" t="inlineStr">
        <is>
          <t>美转加海派</t>
        </is>
      </c>
      <c r="B892" s="1" t="inlineStr">
        <is>
          <t>美转加海派</t>
        </is>
      </c>
      <c r="C892" s="1" t="inlineStr">
        <is>
          <t>Y-X7-海派</t>
        </is>
      </c>
      <c r="D892" s="1" t="inlineStr">
        <is>
          <t>义乌</t>
        </is>
      </c>
      <c r="E892" s="1" t="inlineStr">
        <is>
          <t>YXU1</t>
        </is>
      </c>
      <c r="F892" s="134" t="n">
        <v>26.88</v>
      </c>
      <c r="G892" s="1" t="inlineStr">
        <is>
          <t>RMB/KG</t>
        </is>
      </c>
      <c r="H892" s="134" t="n">
        <v>0</v>
      </c>
      <c r="I892" s="1" t="inlineStr">
        <is>
          <t>2026-10-26</t>
        </is>
      </c>
      <c r="J892" s="1" t="inlineStr">
        <is>
          <t>凯琦FBA报价_当期.xlsx</t>
        </is>
      </c>
    </row>
    <row r="893">
      <c r="A893" s="1" t="inlineStr">
        <is>
          <t>美转加海派</t>
        </is>
      </c>
      <c r="B893" s="1" t="inlineStr">
        <is>
          <t>美转加海派</t>
        </is>
      </c>
      <c r="C893" s="1" t="inlineStr">
        <is>
          <t>Y-X7-海派</t>
        </is>
      </c>
      <c r="D893" s="1" t="inlineStr">
        <is>
          <t>义乌</t>
        </is>
      </c>
      <c r="E893" s="1" t="inlineStr">
        <is>
          <t>XYY1</t>
        </is>
      </c>
      <c r="F893" s="134" t="n">
        <v>26.88</v>
      </c>
      <c r="G893" s="1" t="inlineStr">
        <is>
          <t>RMB/KG</t>
        </is>
      </c>
      <c r="H893" s="134" t="n">
        <v>0</v>
      </c>
      <c r="I893" s="1" t="inlineStr">
        <is>
          <t>2026-10-26</t>
        </is>
      </c>
      <c r="J893" s="1" t="inlineStr">
        <is>
          <t>凯琦FBA报价_当期.xlsx</t>
        </is>
      </c>
    </row>
    <row r="894">
      <c r="A894" s="1" t="inlineStr">
        <is>
          <t>美转加海派</t>
        </is>
      </c>
      <c r="B894" s="1" t="inlineStr">
        <is>
          <t>美转加海派</t>
        </is>
      </c>
      <c r="C894" s="1" t="inlineStr">
        <is>
          <t>Y-X7-海派</t>
        </is>
      </c>
      <c r="D894" s="1" t="inlineStr">
        <is>
          <t>义乌</t>
        </is>
      </c>
      <c r="E894" s="1" t="inlineStr">
        <is>
          <t>YOW1</t>
        </is>
      </c>
      <c r="F894" s="134" t="n">
        <v>27.18</v>
      </c>
      <c r="G894" s="1" t="inlineStr">
        <is>
          <t>RMB/KG</t>
        </is>
      </c>
      <c r="H894" s="134" t="n">
        <v>0</v>
      </c>
      <c r="I894" s="1" t="inlineStr">
        <is>
          <t>2026-10-26</t>
        </is>
      </c>
      <c r="J894" s="1" t="inlineStr">
        <is>
          <t>凯琦FBA报价_当期.xlsx</t>
        </is>
      </c>
    </row>
    <row r="895">
      <c r="A895" s="1" t="inlineStr">
        <is>
          <t>美转加海派</t>
        </is>
      </c>
      <c r="B895" s="1" t="inlineStr">
        <is>
          <t>美转加海派</t>
        </is>
      </c>
      <c r="C895" s="1" t="inlineStr">
        <is>
          <t>Y-X7-海派</t>
        </is>
      </c>
      <c r="D895" s="1" t="inlineStr">
        <is>
          <t>义乌</t>
        </is>
      </c>
      <c r="E895" s="1" t="inlineStr">
        <is>
          <t>YOW3</t>
        </is>
      </c>
      <c r="F895" s="134" t="n">
        <v>27.18</v>
      </c>
      <c r="G895" s="1" t="inlineStr">
        <is>
          <t>RMB/KG</t>
        </is>
      </c>
      <c r="H895" s="134" t="n">
        <v>0</v>
      </c>
      <c r="I895" s="1" t="inlineStr">
        <is>
          <t>2026-10-26</t>
        </is>
      </c>
      <c r="J895" s="1" t="inlineStr">
        <is>
          <t>凯琦FBA报价_当期.xlsx</t>
        </is>
      </c>
    </row>
    <row r="896">
      <c r="A896" s="1" t="inlineStr">
        <is>
          <t>美转加海派</t>
        </is>
      </c>
      <c r="B896" s="1" t="inlineStr">
        <is>
          <t>美转加海派</t>
        </is>
      </c>
      <c r="C896" s="1" t="inlineStr">
        <is>
          <t>Y-X7-海派</t>
        </is>
      </c>
      <c r="D896" s="1" t="inlineStr">
        <is>
          <t>义乌</t>
        </is>
      </c>
      <c r="E896" s="1" t="inlineStr">
        <is>
          <t>YGK1</t>
        </is>
      </c>
      <c r="F896" s="134" t="n">
        <v>27.18</v>
      </c>
      <c r="G896" s="1" t="inlineStr">
        <is>
          <t>RMB/KG</t>
        </is>
      </c>
      <c r="H896" s="134" t="n">
        <v>0</v>
      </c>
      <c r="I896" s="1" t="inlineStr">
        <is>
          <t>2026-10-26</t>
        </is>
      </c>
      <c r="J896" s="1" t="inlineStr">
        <is>
          <t>凯琦FBA报价_当期.xlsx</t>
        </is>
      </c>
    </row>
    <row r="897">
      <c r="A897" s="1" t="inlineStr">
        <is>
          <t>美转加海派</t>
        </is>
      </c>
      <c r="B897" s="1" t="inlineStr">
        <is>
          <t>美转加海派</t>
        </is>
      </c>
      <c r="C897" s="1" t="inlineStr">
        <is>
          <t>Y-X7-海派</t>
        </is>
      </c>
      <c r="D897" s="1" t="inlineStr">
        <is>
          <t>义乌</t>
        </is>
      </c>
      <c r="E897" s="1" t="inlineStr">
        <is>
          <t>商业地址</t>
        </is>
      </c>
      <c r="F897" s="134" t="n">
        <v>28.18</v>
      </c>
      <c r="G897" s="1" t="inlineStr">
        <is>
          <t>RMB/KG</t>
        </is>
      </c>
      <c r="H897" s="134" t="n">
        <v>0</v>
      </c>
      <c r="I897" s="1" t="inlineStr">
        <is>
          <t>2026-10-26</t>
        </is>
      </c>
      <c r="J897" s="1" t="inlineStr">
        <is>
          <t>凯琦FBA报价_当期.xlsx</t>
        </is>
      </c>
    </row>
    <row r="898">
      <c r="A898" s="1" t="inlineStr">
        <is>
          <t>美转加海派</t>
        </is>
      </c>
      <c r="B898" s="1" t="inlineStr">
        <is>
          <t>美转加海派</t>
        </is>
      </c>
      <c r="C898" s="1" t="inlineStr">
        <is>
          <t>Y-X7-海派</t>
        </is>
      </c>
      <c r="D898" s="1" t="inlineStr">
        <is>
          <t>义乌</t>
        </is>
      </c>
      <c r="E898" s="1" t="inlineStr">
        <is>
          <t>YVR1</t>
        </is>
      </c>
      <c r="F898" s="134" t="n">
        <v>27.18</v>
      </c>
      <c r="G898" s="1" t="inlineStr">
        <is>
          <t>RMB/KG</t>
        </is>
      </c>
      <c r="H898" s="134" t="n">
        <v>0</v>
      </c>
      <c r="I898" s="1" t="inlineStr">
        <is>
          <t>2026-10-26</t>
        </is>
      </c>
      <c r="J898" s="1" t="inlineStr">
        <is>
          <t>凯琦FBA报价_当期.xlsx</t>
        </is>
      </c>
    </row>
    <row r="899">
      <c r="A899" s="1" t="inlineStr">
        <is>
          <t>美转加海派</t>
        </is>
      </c>
      <c r="B899" s="1" t="inlineStr">
        <is>
          <t>美转加海派</t>
        </is>
      </c>
      <c r="C899" s="1" t="inlineStr">
        <is>
          <t>Y-X7-海派</t>
        </is>
      </c>
      <c r="D899" s="1" t="inlineStr">
        <is>
          <t>义乌</t>
        </is>
      </c>
      <c r="E899" s="1" t="inlineStr">
        <is>
          <t>YVR2</t>
        </is>
      </c>
      <c r="F899" s="134" t="n">
        <v>27.18</v>
      </c>
      <c r="G899" s="1" t="inlineStr">
        <is>
          <t>RMB/KG</t>
        </is>
      </c>
      <c r="H899" s="134" t="n">
        <v>0</v>
      </c>
      <c r="I899" s="1" t="inlineStr">
        <is>
          <t>2026-10-26</t>
        </is>
      </c>
      <c r="J899" s="1" t="inlineStr">
        <is>
          <t>凯琦FBA报价_当期.xlsx</t>
        </is>
      </c>
    </row>
    <row r="900">
      <c r="A900" s="1" t="inlineStr">
        <is>
          <t>美转加海派</t>
        </is>
      </c>
      <c r="B900" s="1" t="inlineStr">
        <is>
          <t>美转加海派</t>
        </is>
      </c>
      <c r="C900" s="1" t="inlineStr">
        <is>
          <t>Y-X7-海派</t>
        </is>
      </c>
      <c r="D900" s="1" t="inlineStr">
        <is>
          <t>义乌</t>
        </is>
      </c>
      <c r="E900" s="1" t="inlineStr">
        <is>
          <t>YVR3</t>
        </is>
      </c>
      <c r="F900" s="134" t="n">
        <v>27.18</v>
      </c>
      <c r="G900" s="1" t="inlineStr">
        <is>
          <t>RMB/KG</t>
        </is>
      </c>
      <c r="H900" s="134" t="n">
        <v>0</v>
      </c>
      <c r="I900" s="1" t="inlineStr">
        <is>
          <t>2026-10-26</t>
        </is>
      </c>
      <c r="J900" s="1" t="inlineStr">
        <is>
          <t>凯琦FBA报价_当期.xlsx</t>
        </is>
      </c>
    </row>
    <row r="901">
      <c r="A901" s="1" t="inlineStr">
        <is>
          <t>美转加海派</t>
        </is>
      </c>
      <c r="B901" s="1" t="inlineStr">
        <is>
          <t>美转加海派</t>
        </is>
      </c>
      <c r="C901" s="1" t="inlineStr">
        <is>
          <t>Y-X7-海派</t>
        </is>
      </c>
      <c r="D901" s="1" t="inlineStr">
        <is>
          <t>义乌</t>
        </is>
      </c>
      <c r="E901" s="1" t="inlineStr">
        <is>
          <t>YVR4</t>
        </is>
      </c>
      <c r="F901" s="134" t="n">
        <v>27.18</v>
      </c>
      <c r="G901" s="1" t="inlineStr">
        <is>
          <t>RMB/KG</t>
        </is>
      </c>
      <c r="H901" s="134" t="n">
        <v>0</v>
      </c>
      <c r="I901" s="1" t="inlineStr">
        <is>
          <t>2026-10-26</t>
        </is>
      </c>
      <c r="J901" s="1" t="inlineStr">
        <is>
          <t>凯琦FBA报价_当期.xlsx</t>
        </is>
      </c>
    </row>
    <row r="902">
      <c r="A902" s="1" t="inlineStr">
        <is>
          <t>美转加海派</t>
        </is>
      </c>
      <c r="B902" s="1" t="inlineStr">
        <is>
          <t>美转加海派</t>
        </is>
      </c>
      <c r="C902" s="1" t="inlineStr">
        <is>
          <t>Y-X7-海派</t>
        </is>
      </c>
      <c r="D902" s="1" t="inlineStr">
        <is>
          <t>义乌</t>
        </is>
      </c>
      <c r="E902" s="1" t="inlineStr">
        <is>
          <t>YXX2</t>
        </is>
      </c>
      <c r="F902" s="134" t="n">
        <v>27.18</v>
      </c>
      <c r="G902" s="1" t="inlineStr">
        <is>
          <t>RMB/KG</t>
        </is>
      </c>
      <c r="H902" s="134" t="n">
        <v>0</v>
      </c>
      <c r="I902" s="1" t="inlineStr">
        <is>
          <t>2026-10-26</t>
        </is>
      </c>
      <c r="J902" s="1" t="inlineStr">
        <is>
          <t>凯琦FBA报价_当期.xlsx</t>
        </is>
      </c>
    </row>
    <row r="903">
      <c r="A903" s="1" t="inlineStr">
        <is>
          <t>美转加海派</t>
        </is>
      </c>
      <c r="B903" s="1" t="inlineStr">
        <is>
          <t>美转加海派</t>
        </is>
      </c>
      <c r="C903" s="1" t="inlineStr">
        <is>
          <t>Y-X7-海派</t>
        </is>
      </c>
      <c r="D903" s="1" t="inlineStr">
        <is>
          <t>义乌</t>
        </is>
      </c>
      <c r="E903" s="1" t="inlineStr">
        <is>
          <t>YYC1</t>
        </is>
      </c>
      <c r="F903" s="134" t="n">
        <v>26.88</v>
      </c>
      <c r="G903" s="1" t="inlineStr">
        <is>
          <t>RMB/KG</t>
        </is>
      </c>
      <c r="H903" s="134" t="n">
        <v>0</v>
      </c>
      <c r="I903" s="1" t="inlineStr">
        <is>
          <t>2026-10-26</t>
        </is>
      </c>
      <c r="J903" s="1" t="inlineStr">
        <is>
          <t>凯琦FBA报价_当期.xlsx</t>
        </is>
      </c>
    </row>
    <row r="904">
      <c r="A904" s="1" t="inlineStr">
        <is>
          <t>美转加海派</t>
        </is>
      </c>
      <c r="B904" s="1" t="inlineStr">
        <is>
          <t>美转加海派</t>
        </is>
      </c>
      <c r="C904" s="1" t="inlineStr">
        <is>
          <t>Y-X7-海派</t>
        </is>
      </c>
      <c r="D904" s="1" t="inlineStr">
        <is>
          <t>义乌</t>
        </is>
      </c>
      <c r="E904" s="1" t="inlineStr">
        <is>
          <t>YYC4</t>
        </is>
      </c>
      <c r="F904" s="134" t="n">
        <v>26.88</v>
      </c>
      <c r="G904" s="1" t="inlineStr">
        <is>
          <t>RMB/KG</t>
        </is>
      </c>
      <c r="H904" s="134" t="n">
        <v>0</v>
      </c>
      <c r="I904" s="1" t="inlineStr">
        <is>
          <t>2026-10-26</t>
        </is>
      </c>
      <c r="J904" s="1" t="inlineStr">
        <is>
          <t>凯琦FBA报价_当期.xlsx</t>
        </is>
      </c>
    </row>
    <row r="905">
      <c r="A905" s="1" t="inlineStr">
        <is>
          <t>美转加海派</t>
        </is>
      </c>
      <c r="B905" s="1" t="inlineStr">
        <is>
          <t>美转加海派</t>
        </is>
      </c>
      <c r="C905" s="1" t="inlineStr">
        <is>
          <t>Y-X7-海派</t>
        </is>
      </c>
      <c r="D905" s="1" t="inlineStr">
        <is>
          <t>义乌</t>
        </is>
      </c>
      <c r="E905" s="1" t="inlineStr">
        <is>
          <t>YYC6</t>
        </is>
      </c>
      <c r="F905" s="134" t="n">
        <v>26.88</v>
      </c>
      <c r="G905" s="1" t="inlineStr">
        <is>
          <t>RMB/KG</t>
        </is>
      </c>
      <c r="H905" s="134" t="n">
        <v>0</v>
      </c>
      <c r="I905" s="1" t="inlineStr">
        <is>
          <t>2026-10-26</t>
        </is>
      </c>
      <c r="J905" s="1" t="inlineStr">
        <is>
          <t>凯琦FBA报价_当期.xlsx</t>
        </is>
      </c>
    </row>
    <row r="906">
      <c r="A906" s="1" t="inlineStr">
        <is>
          <t>美转加海派</t>
        </is>
      </c>
      <c r="B906" s="1" t="inlineStr">
        <is>
          <t>美转加海派</t>
        </is>
      </c>
      <c r="C906" s="1" t="inlineStr">
        <is>
          <t>Y-X7-海派</t>
        </is>
      </c>
      <c r="D906" s="1" t="inlineStr">
        <is>
          <t>义乌</t>
        </is>
      </c>
      <c r="E906" s="1" t="inlineStr">
        <is>
          <t>YEG1</t>
        </is>
      </c>
      <c r="F906" s="134" t="n">
        <v>26.88</v>
      </c>
      <c r="G906" s="1" t="inlineStr">
        <is>
          <t>RMB/KG</t>
        </is>
      </c>
      <c r="H906" s="134" t="n">
        <v>0</v>
      </c>
      <c r="I906" s="1" t="inlineStr">
        <is>
          <t>2026-10-26</t>
        </is>
      </c>
      <c r="J906" s="1" t="inlineStr">
        <is>
          <t>凯琦FBA报价_当期.xlsx</t>
        </is>
      </c>
    </row>
    <row r="907">
      <c r="A907" s="1" t="inlineStr">
        <is>
          <t>美转加海派</t>
        </is>
      </c>
      <c r="B907" s="1" t="inlineStr">
        <is>
          <t>美转加海派</t>
        </is>
      </c>
      <c r="C907" s="1" t="inlineStr">
        <is>
          <t>Y-X7-海派</t>
        </is>
      </c>
      <c r="D907" s="1" t="inlineStr">
        <is>
          <t>义乌</t>
        </is>
      </c>
      <c r="E907" s="1" t="inlineStr">
        <is>
          <t>YEG2</t>
        </is>
      </c>
      <c r="F907" s="134" t="n">
        <v>26.88</v>
      </c>
      <c r="G907" s="1" t="inlineStr">
        <is>
          <t>RMB/KG</t>
        </is>
      </c>
      <c r="H907" s="134" t="n">
        <v>0</v>
      </c>
      <c r="I907" s="1" t="inlineStr">
        <is>
          <t>2026-10-26</t>
        </is>
      </c>
      <c r="J907" s="1" t="inlineStr">
        <is>
          <t>凯琦FBA报价_当期.xlsx</t>
        </is>
      </c>
    </row>
    <row r="908">
      <c r="A908" s="1" t="inlineStr">
        <is>
          <t>SEND专线</t>
        </is>
      </c>
      <c r="B908" s="1" t="inlineStr">
        <is>
          <t>SEND专线</t>
        </is>
      </c>
      <c r="C908" s="1" t="inlineStr">
        <is>
          <t>Y-SEND普船专线</t>
        </is>
      </c>
      <c r="D908" s="1" t="inlineStr">
        <is>
          <t>义乌</t>
        </is>
      </c>
      <c r="E908" s="1" t="inlineStr">
        <is>
          <t>SBD1</t>
        </is>
      </c>
      <c r="F908" s="134" t="n">
        <v>8.18</v>
      </c>
      <c r="G908" s="1" t="inlineStr">
        <is>
          <t>RMB/KG</t>
        </is>
      </c>
      <c r="H908" s="134" t="n">
        <v>0</v>
      </c>
      <c r="I908" s="1" t="inlineStr">
        <is>
          <t>2026-10-26</t>
        </is>
      </c>
      <c r="J908" s="1" t="inlineStr">
        <is>
          <t>凯琦FBA报价_当期.xlsx</t>
        </is>
      </c>
    </row>
    <row r="909">
      <c r="A909" s="1" t="inlineStr">
        <is>
          <t>SEND专线</t>
        </is>
      </c>
      <c r="B909" s="1" t="inlineStr">
        <is>
          <t>SEND专线</t>
        </is>
      </c>
      <c r="C909" s="1" t="inlineStr">
        <is>
          <t>Y-SEND普船专线</t>
        </is>
      </c>
      <c r="D909" s="1" t="inlineStr">
        <is>
          <t>义乌</t>
        </is>
      </c>
      <c r="E909" s="1" t="inlineStr">
        <is>
          <t>LAX9</t>
        </is>
      </c>
      <c r="F909" s="134" t="n">
        <v>8.18</v>
      </c>
      <c r="G909" s="1" t="inlineStr">
        <is>
          <t>RMB/KG</t>
        </is>
      </c>
      <c r="H909" s="134" t="n">
        <v>0</v>
      </c>
      <c r="I909" s="1" t="inlineStr">
        <is>
          <t>2026-10-26</t>
        </is>
      </c>
      <c r="J909" s="1" t="inlineStr">
        <is>
          <t>凯琦FBA报价_当期.xlsx</t>
        </is>
      </c>
    </row>
    <row r="910">
      <c r="A910" s="1" t="inlineStr">
        <is>
          <t>SEND专线</t>
        </is>
      </c>
      <c r="B910" s="1" t="inlineStr">
        <is>
          <t>SEND专线</t>
        </is>
      </c>
      <c r="C910" s="1" t="inlineStr">
        <is>
          <t>Y-SEND普船专线</t>
        </is>
      </c>
      <c r="D910" s="1" t="inlineStr">
        <is>
          <t>义乌</t>
        </is>
      </c>
      <c r="E910" s="1" t="inlineStr">
        <is>
          <t>SMF3</t>
        </is>
      </c>
      <c r="F910" s="134" t="n">
        <v>7.98</v>
      </c>
      <c r="G910" s="1" t="inlineStr">
        <is>
          <t>RMB/KG</t>
        </is>
      </c>
      <c r="H910" s="134" t="n">
        <v>0</v>
      </c>
      <c r="I910" s="1" t="inlineStr">
        <is>
          <t>2026-10-26</t>
        </is>
      </c>
      <c r="J910" s="1" t="inlineStr">
        <is>
          <t>凯琦FBA报价_当期.xlsx</t>
        </is>
      </c>
    </row>
    <row r="911">
      <c r="A911" s="1" t="inlineStr">
        <is>
          <t>SEND专线</t>
        </is>
      </c>
      <c r="B911" s="1" t="inlineStr">
        <is>
          <t>SEND专线</t>
        </is>
      </c>
      <c r="C911" s="1" t="inlineStr">
        <is>
          <t>Y-SEND普船专线</t>
        </is>
      </c>
      <c r="D911" s="1" t="inlineStr">
        <is>
          <t>义乌</t>
        </is>
      </c>
      <c r="E911" s="1" t="inlineStr">
        <is>
          <t>TEB9</t>
        </is>
      </c>
      <c r="F911" s="134" t="n">
        <v>8.779999999999999</v>
      </c>
      <c r="G911" s="1" t="inlineStr">
        <is>
          <t>RMB/KG</t>
        </is>
      </c>
      <c r="H911" s="134" t="n">
        <v>0</v>
      </c>
      <c r="I911" s="1" t="inlineStr">
        <is>
          <t>2026-10-26</t>
        </is>
      </c>
      <c r="J911" s="1" t="inlineStr">
        <is>
          <t>凯琦FBA报价_当期.xlsx</t>
        </is>
      </c>
    </row>
    <row r="912">
      <c r="A912" s="1" t="inlineStr">
        <is>
          <t>SEND专线</t>
        </is>
      </c>
      <c r="B912" s="1" t="inlineStr">
        <is>
          <t>SEND专线</t>
        </is>
      </c>
      <c r="C912" s="1" t="inlineStr">
        <is>
          <t>Y-SEND普船专线</t>
        </is>
      </c>
      <c r="D912" s="1" t="inlineStr">
        <is>
          <t>义乌</t>
        </is>
      </c>
      <c r="E912" s="1" t="inlineStr">
        <is>
          <t>CLT2</t>
        </is>
      </c>
      <c r="F912" s="134" t="n">
        <v>9.48</v>
      </c>
      <c r="G912" s="1" t="inlineStr">
        <is>
          <t>RMB/KG</t>
        </is>
      </c>
      <c r="H912" s="134" t="n">
        <v>0</v>
      </c>
      <c r="I912" s="1" t="inlineStr">
        <is>
          <t>2026-10-26</t>
        </is>
      </c>
      <c r="J912" s="1" t="inlineStr">
        <is>
          <t>凯琦FBA报价_当期.xlsx</t>
        </is>
      </c>
    </row>
    <row r="913">
      <c r="A913" s="1" t="inlineStr">
        <is>
          <t>SEND专线</t>
        </is>
      </c>
      <c r="B913" s="1" t="inlineStr">
        <is>
          <t>SEND专线</t>
        </is>
      </c>
      <c r="C913" s="1" t="inlineStr">
        <is>
          <t>Y-SEND普船专线</t>
        </is>
      </c>
      <c r="D913" s="1" t="inlineStr">
        <is>
          <t>义乌</t>
        </is>
      </c>
      <c r="E913" s="1" t="inlineStr">
        <is>
          <t>SBD1</t>
        </is>
      </c>
      <c r="F913" s="134" t="n">
        <v>10.68</v>
      </c>
      <c r="G913" s="1" t="inlineStr">
        <is>
          <t>RMB/KG</t>
        </is>
      </c>
      <c r="H913" s="134" t="n">
        <v>0</v>
      </c>
      <c r="I913" s="1" t="inlineStr">
        <is>
          <t>2026-10-26</t>
        </is>
      </c>
      <c r="J913" s="1" t="inlineStr">
        <is>
          <t>凯琦FBA报价_当期.xlsx</t>
        </is>
      </c>
    </row>
    <row r="914">
      <c r="A914" s="1" t="inlineStr">
        <is>
          <t>SEND专线</t>
        </is>
      </c>
      <c r="B914" s="1" t="inlineStr">
        <is>
          <t>SEND专线</t>
        </is>
      </c>
      <c r="C914" s="1" t="inlineStr">
        <is>
          <t>Y-SEND普船专线</t>
        </is>
      </c>
      <c r="D914" s="1" t="inlineStr">
        <is>
          <t>义乌</t>
        </is>
      </c>
      <c r="E914" s="1" t="inlineStr">
        <is>
          <t>LAX9</t>
        </is>
      </c>
      <c r="F914" s="134" t="n">
        <v>10.68</v>
      </c>
      <c r="G914" s="1" t="inlineStr">
        <is>
          <t>RMB/KG</t>
        </is>
      </c>
      <c r="H914" s="134" t="n">
        <v>0</v>
      </c>
      <c r="I914" s="1" t="inlineStr">
        <is>
          <t>2026-10-26</t>
        </is>
      </c>
      <c r="J914" s="1" t="inlineStr">
        <is>
          <t>凯琦FBA报价_当期.xlsx</t>
        </is>
      </c>
    </row>
    <row r="915">
      <c r="A915" s="1" t="inlineStr">
        <is>
          <t>SEND专线</t>
        </is>
      </c>
      <c r="B915" s="1" t="inlineStr">
        <is>
          <t>SEND专线</t>
        </is>
      </c>
      <c r="C915" s="1" t="inlineStr">
        <is>
          <t>Y-SEND普船专线</t>
        </is>
      </c>
      <c r="D915" s="1" t="inlineStr">
        <is>
          <t>义乌</t>
        </is>
      </c>
      <c r="E915" s="1" t="inlineStr">
        <is>
          <t>SMF3</t>
        </is>
      </c>
      <c r="F915" s="134" t="n">
        <v>11.98</v>
      </c>
      <c r="G915" s="1" t="inlineStr">
        <is>
          <t>RMB/KG</t>
        </is>
      </c>
      <c r="H915" s="134" t="n">
        <v>0</v>
      </c>
      <c r="I915" s="1" t="inlineStr">
        <is>
          <t>2026-10-26</t>
        </is>
      </c>
      <c r="J915" s="1" t="inlineStr">
        <is>
          <t>凯琦FBA报价_当期.xlsx</t>
        </is>
      </c>
    </row>
    <row r="916">
      <c r="A916" s="1" t="inlineStr">
        <is>
          <t>SEND专线</t>
        </is>
      </c>
      <c r="B916" s="1" t="inlineStr">
        <is>
          <t>SEND专线</t>
        </is>
      </c>
      <c r="C916" s="1" t="inlineStr">
        <is>
          <t>Y-SEND普船专线</t>
        </is>
      </c>
      <c r="D916" s="1" t="inlineStr">
        <is>
          <t>义乌</t>
        </is>
      </c>
      <c r="E916" s="1" t="inlineStr">
        <is>
          <t>TEB9</t>
        </is>
      </c>
      <c r="F916" s="134" t="n">
        <v>13.88</v>
      </c>
      <c r="G916" s="1" t="inlineStr">
        <is>
          <t>RMB/KG</t>
        </is>
      </c>
      <c r="H916" s="134" t="n">
        <v>0</v>
      </c>
      <c r="I916" s="1" t="inlineStr">
        <is>
          <t>2026-10-26</t>
        </is>
      </c>
      <c r="J916" s="1" t="inlineStr">
        <is>
          <t>凯琦FBA报价_当期.xlsx</t>
        </is>
      </c>
    </row>
    <row r="917">
      <c r="A917" s="1" t="inlineStr">
        <is>
          <t>SEND专线</t>
        </is>
      </c>
      <c r="B917" s="1" t="inlineStr">
        <is>
          <t>SEND专线</t>
        </is>
      </c>
      <c r="C917" s="1" t="inlineStr">
        <is>
          <t>Y-SEND普船专线</t>
        </is>
      </c>
      <c r="D917" s="1" t="inlineStr">
        <is>
          <t>义乌</t>
        </is>
      </c>
      <c r="E917" s="1" t="inlineStr">
        <is>
          <t>CLT2</t>
        </is>
      </c>
      <c r="F917" s="134" t="n">
        <v>14.88</v>
      </c>
      <c r="G917" s="1" t="inlineStr">
        <is>
          <t>RMB/KG</t>
        </is>
      </c>
      <c r="H917" s="134" t="n">
        <v>0</v>
      </c>
      <c r="I917" s="1" t="inlineStr">
        <is>
          <t>2026-10-26</t>
        </is>
      </c>
      <c r="J917" s="1" t="inlineStr">
        <is>
          <t>凯琦FBA报价_当期.xlsx</t>
        </is>
      </c>
    </row>
    <row r="918">
      <c r="A918" s="1" t="inlineStr">
        <is>
          <t>SEND专线</t>
        </is>
      </c>
      <c r="B918" s="1" t="inlineStr">
        <is>
          <t>SEND专线</t>
        </is>
      </c>
      <c r="C918" s="1" t="inlineStr">
        <is>
          <t>Y-SEND普船专线</t>
        </is>
      </c>
      <c r="D918" s="1" t="inlineStr">
        <is>
          <t>义乌</t>
        </is>
      </c>
      <c r="E918" s="1" t="inlineStr">
        <is>
          <t>SBD1</t>
        </is>
      </c>
      <c r="F918" s="134" t="n">
        <v>11.18</v>
      </c>
      <c r="G918" s="1" t="inlineStr">
        <is>
          <t>RMB/KG</t>
        </is>
      </c>
      <c r="H918" s="134" t="n">
        <v>0</v>
      </c>
      <c r="I918" s="1" t="inlineStr">
        <is>
          <t>2026-10-26</t>
        </is>
      </c>
      <c r="J918" s="1" t="inlineStr">
        <is>
          <t>凯琦FBA报价_当期.xlsx</t>
        </is>
      </c>
    </row>
    <row r="919">
      <c r="A919" s="1" t="inlineStr">
        <is>
          <t>SEND专线</t>
        </is>
      </c>
      <c r="B919" s="1" t="inlineStr">
        <is>
          <t>SEND专线</t>
        </is>
      </c>
      <c r="C919" s="1" t="inlineStr">
        <is>
          <t>Y-SEND普船专线</t>
        </is>
      </c>
      <c r="D919" s="1" t="inlineStr">
        <is>
          <t>义乌</t>
        </is>
      </c>
      <c r="E919" s="1" t="inlineStr">
        <is>
          <t>LAX9</t>
        </is>
      </c>
      <c r="F919" s="134" t="n">
        <v>11.18</v>
      </c>
      <c r="G919" s="1" t="inlineStr">
        <is>
          <t>RMB/KG</t>
        </is>
      </c>
      <c r="H919" s="134" t="n">
        <v>0</v>
      </c>
      <c r="I919" s="1" t="inlineStr">
        <is>
          <t>2026-10-26</t>
        </is>
      </c>
      <c r="J919" s="1" t="inlineStr">
        <is>
          <t>凯琦FBA报价_当期.xlsx</t>
        </is>
      </c>
    </row>
    <row r="920">
      <c r="A920" s="1" t="inlineStr">
        <is>
          <t>SEND专线</t>
        </is>
      </c>
      <c r="B920" s="1" t="inlineStr">
        <is>
          <t>SEND专线</t>
        </is>
      </c>
      <c r="C920" s="1" t="inlineStr">
        <is>
          <t>Y-SEND普船专线</t>
        </is>
      </c>
      <c r="D920" s="1" t="inlineStr">
        <is>
          <t>义乌</t>
        </is>
      </c>
      <c r="E920" s="1" t="inlineStr">
        <is>
          <t>SMF3</t>
        </is>
      </c>
      <c r="F920" s="134" t="n">
        <v>12.68</v>
      </c>
      <c r="G920" s="1" t="inlineStr">
        <is>
          <t>RMB/KG</t>
        </is>
      </c>
      <c r="H920" s="134" t="n">
        <v>0</v>
      </c>
      <c r="I920" s="1" t="inlineStr">
        <is>
          <t>2026-10-26</t>
        </is>
      </c>
      <c r="J920" s="1" t="inlineStr">
        <is>
          <t>凯琦FBA报价_当期.xlsx</t>
        </is>
      </c>
    </row>
    <row r="921">
      <c r="A921" s="1" t="inlineStr">
        <is>
          <t>SEND专线</t>
        </is>
      </c>
      <c r="B921" s="1" t="inlineStr">
        <is>
          <t>SEND专线</t>
        </is>
      </c>
      <c r="C921" s="1" t="inlineStr">
        <is>
          <t>Y-SEND普船专线</t>
        </is>
      </c>
      <c r="D921" s="1" t="inlineStr">
        <is>
          <t>义乌</t>
        </is>
      </c>
      <c r="E921" s="1" t="inlineStr">
        <is>
          <t>TEB9</t>
        </is>
      </c>
      <c r="F921" s="134" t="n">
        <v>15.48</v>
      </c>
      <c r="G921" s="1" t="inlineStr">
        <is>
          <t>RMB/KG</t>
        </is>
      </c>
      <c r="H921" s="134" t="n">
        <v>0</v>
      </c>
      <c r="I921" s="1" t="inlineStr">
        <is>
          <t>2026-10-26</t>
        </is>
      </c>
      <c r="J921" s="1" t="inlineStr">
        <is>
          <t>凯琦FBA报价_当期.xlsx</t>
        </is>
      </c>
    </row>
    <row r="922">
      <c r="A922" s="1" t="inlineStr">
        <is>
          <t>SEND专线</t>
        </is>
      </c>
      <c r="B922" s="1" t="inlineStr">
        <is>
          <t>SEND专线</t>
        </is>
      </c>
      <c r="C922" s="1" t="inlineStr">
        <is>
          <t>Y-SEND普船专线</t>
        </is>
      </c>
      <c r="D922" s="1" t="inlineStr">
        <is>
          <t>义乌</t>
        </is>
      </c>
      <c r="E922" s="1" t="inlineStr">
        <is>
          <t>CLT2</t>
        </is>
      </c>
      <c r="F922" s="134" t="n">
        <v>15.68</v>
      </c>
      <c r="G922" s="1" t="inlineStr">
        <is>
          <t>RMB/KG</t>
        </is>
      </c>
      <c r="H922" s="134" t="n">
        <v>0</v>
      </c>
      <c r="I922" s="1" t="inlineStr">
        <is>
          <t>2026-10-26</t>
        </is>
      </c>
      <c r="J922" s="1" t="inlineStr">
        <is>
          <t>凯琦FBA报价_当期.xlsx</t>
        </is>
      </c>
    </row>
    <row r="923">
      <c r="A923" s="1" t="inlineStr">
        <is>
          <t>整柜直送</t>
        </is>
      </c>
      <c r="B923" s="1" t="inlineStr">
        <is>
          <t>整柜直送</t>
        </is>
      </c>
      <c r="C923" s="1" t="inlineStr">
        <is>
          <t>Y-A6全美直送专线</t>
        </is>
      </c>
      <c r="D923" s="1" t="inlineStr">
        <is>
          <t>义乌</t>
        </is>
      </c>
      <c r="E923" s="1" t="inlineStr">
        <is>
          <t>ONT8</t>
        </is>
      </c>
      <c r="F923" s="134" t="n">
        <v>8.380000000000001</v>
      </c>
      <c r="G923" s="1" t="inlineStr">
        <is>
          <t>RMB/KG</t>
        </is>
      </c>
      <c r="H923" s="134" t="n">
        <v>0</v>
      </c>
      <c r="I923" s="1" t="inlineStr">
        <is>
          <t>2026-10-26</t>
        </is>
      </c>
      <c r="J923" s="1" t="inlineStr">
        <is>
          <t>凯琦FBA报价_当期.xlsx</t>
        </is>
      </c>
    </row>
    <row r="924">
      <c r="A924" s="1" t="inlineStr">
        <is>
          <t>整柜直送</t>
        </is>
      </c>
      <c r="B924" s="1" t="inlineStr">
        <is>
          <t>整柜直送</t>
        </is>
      </c>
      <c r="C924" s="1" t="inlineStr">
        <is>
          <t>Y-A6全美直送专线</t>
        </is>
      </c>
      <c r="D924" s="1" t="inlineStr">
        <is>
          <t>义乌</t>
        </is>
      </c>
      <c r="E924" s="1" t="inlineStr">
        <is>
          <t>LGB8</t>
        </is>
      </c>
      <c r="F924" s="134" t="n">
        <v>8.380000000000001</v>
      </c>
      <c r="G924" s="1" t="inlineStr">
        <is>
          <t>RMB/KG</t>
        </is>
      </c>
      <c r="H924" s="134" t="n">
        <v>0</v>
      </c>
      <c r="I924" s="1" t="inlineStr">
        <is>
          <t>2026-10-26</t>
        </is>
      </c>
      <c r="J924" s="1" t="inlineStr">
        <is>
          <t>凯琦FBA报价_当期.xlsx</t>
        </is>
      </c>
    </row>
    <row r="925">
      <c r="A925" s="1" t="inlineStr">
        <is>
          <t>整柜直送</t>
        </is>
      </c>
      <c r="B925" s="1" t="inlineStr">
        <is>
          <t>整柜直送</t>
        </is>
      </c>
      <c r="C925" s="1" t="inlineStr">
        <is>
          <t>Y-A6全美直送专线</t>
        </is>
      </c>
      <c r="D925" s="1" t="inlineStr">
        <is>
          <t>义乌</t>
        </is>
      </c>
      <c r="E925" s="1" t="inlineStr">
        <is>
          <t>SBD1</t>
        </is>
      </c>
      <c r="F925" s="134" t="n">
        <v>8.380000000000001</v>
      </c>
      <c r="G925" s="1" t="inlineStr">
        <is>
          <t>RMB/KG</t>
        </is>
      </c>
      <c r="H925" s="134" t="n">
        <v>0</v>
      </c>
      <c r="I925" s="1" t="inlineStr">
        <is>
          <t>2026-10-26</t>
        </is>
      </c>
      <c r="J925" s="1" t="inlineStr">
        <is>
          <t>凯琦FBA报价_当期.xlsx</t>
        </is>
      </c>
    </row>
    <row r="926">
      <c r="A926" s="1" t="inlineStr">
        <is>
          <t>整柜直送</t>
        </is>
      </c>
      <c r="B926" s="1" t="inlineStr">
        <is>
          <t>整柜直送</t>
        </is>
      </c>
      <c r="C926" s="1" t="inlineStr">
        <is>
          <t>Y-A6全美直送专线</t>
        </is>
      </c>
      <c r="D926" s="1" t="inlineStr">
        <is>
          <t>义乌</t>
        </is>
      </c>
      <c r="E926" s="1" t="inlineStr">
        <is>
          <t>LAX9</t>
        </is>
      </c>
      <c r="F926" s="134" t="n">
        <v>8.380000000000001</v>
      </c>
      <c r="G926" s="1" t="inlineStr">
        <is>
          <t>RMB/KG</t>
        </is>
      </c>
      <c r="H926" s="134" t="n">
        <v>0</v>
      </c>
      <c r="I926" s="1" t="inlineStr">
        <is>
          <t>2026-10-26</t>
        </is>
      </c>
      <c r="J926" s="1" t="inlineStr">
        <is>
          <t>凯琦FBA报价_当期.xlsx</t>
        </is>
      </c>
    </row>
    <row r="927">
      <c r="A927" s="1" t="inlineStr">
        <is>
          <t>整柜直送</t>
        </is>
      </c>
      <c r="B927" s="1" t="inlineStr">
        <is>
          <t>整柜直送</t>
        </is>
      </c>
      <c r="C927" s="1" t="inlineStr">
        <is>
          <t>Y-A6全美直送专线</t>
        </is>
      </c>
      <c r="D927" s="1" t="inlineStr">
        <is>
          <t>义乌</t>
        </is>
      </c>
      <c r="E927" s="1" t="inlineStr">
        <is>
          <t>POC3</t>
        </is>
      </c>
      <c r="F927" s="134" t="n">
        <v>8.48</v>
      </c>
      <c r="G927" s="1" t="inlineStr">
        <is>
          <t>RMB/KG</t>
        </is>
      </c>
      <c r="H927" s="134" t="n">
        <v>0</v>
      </c>
      <c r="I927" s="1" t="inlineStr">
        <is>
          <t>2026-10-26</t>
        </is>
      </c>
      <c r="J927" s="1" t="inlineStr">
        <is>
          <t>凯琦FBA报价_当期.xlsx</t>
        </is>
      </c>
    </row>
    <row r="928">
      <c r="A928" s="1" t="inlineStr">
        <is>
          <t>整柜直送</t>
        </is>
      </c>
      <c r="B928" s="1" t="inlineStr">
        <is>
          <t>整柜直送</t>
        </is>
      </c>
      <c r="C928" s="1" t="inlineStr">
        <is>
          <t>Y-A6全美直送专线</t>
        </is>
      </c>
      <c r="D928" s="1" t="inlineStr">
        <is>
          <t>义乌</t>
        </is>
      </c>
      <c r="E928" s="1" t="inlineStr">
        <is>
          <t>SMF3</t>
        </is>
      </c>
      <c r="F928" s="134" t="n">
        <v>8.48</v>
      </c>
      <c r="G928" s="1" t="inlineStr">
        <is>
          <t>RMB/KG</t>
        </is>
      </c>
      <c r="H928" s="134" t="n">
        <v>0</v>
      </c>
      <c r="I928" s="1" t="inlineStr">
        <is>
          <t>2026-10-26</t>
        </is>
      </c>
      <c r="J928" s="1" t="inlineStr">
        <is>
          <t>凯琦FBA报价_当期.xlsx</t>
        </is>
      </c>
    </row>
    <row r="929">
      <c r="A929" s="1" t="inlineStr">
        <is>
          <t>整柜直送</t>
        </is>
      </c>
      <c r="B929" s="1" t="inlineStr">
        <is>
          <t>整柜直送</t>
        </is>
      </c>
      <c r="C929" s="1" t="inlineStr">
        <is>
          <t>Y-A6全美直送专线</t>
        </is>
      </c>
      <c r="D929" s="1" t="inlineStr">
        <is>
          <t>义乌</t>
        </is>
      </c>
      <c r="E929" s="1" t="inlineStr">
        <is>
          <t>SCK4</t>
        </is>
      </c>
      <c r="F929" s="134" t="n">
        <v>8.48</v>
      </c>
      <c r="G929" s="1" t="inlineStr">
        <is>
          <t>RMB/KG</t>
        </is>
      </c>
      <c r="H929" s="134" t="n">
        <v>0</v>
      </c>
      <c r="I929" s="1" t="inlineStr">
        <is>
          <t>2026-10-26</t>
        </is>
      </c>
      <c r="J929" s="1" t="inlineStr">
        <is>
          <t>凯琦FBA报价_当期.xlsx</t>
        </is>
      </c>
    </row>
    <row r="930">
      <c r="A930" s="1" t="inlineStr">
        <is>
          <t>整柜直送</t>
        </is>
      </c>
      <c r="B930" s="1" t="inlineStr">
        <is>
          <t>整柜直送</t>
        </is>
      </c>
      <c r="C930" s="1" t="inlineStr">
        <is>
          <t>Y-A6全美直送专线</t>
        </is>
      </c>
      <c r="D930" s="1" t="inlineStr">
        <is>
          <t>义乌</t>
        </is>
      </c>
      <c r="E930" s="1" t="inlineStr">
        <is>
          <t>SCK8</t>
        </is>
      </c>
      <c r="F930" s="134" t="n">
        <v>8.48</v>
      </c>
      <c r="G930" s="1" t="inlineStr">
        <is>
          <t>RMB/KG</t>
        </is>
      </c>
      <c r="H930" s="134" t="n">
        <v>0</v>
      </c>
      <c r="I930" s="1" t="inlineStr">
        <is>
          <t>2026-10-26</t>
        </is>
      </c>
      <c r="J930" s="1" t="inlineStr">
        <is>
          <t>凯琦FBA报价_当期.xlsx</t>
        </is>
      </c>
    </row>
    <row r="931">
      <c r="A931" s="1" t="inlineStr">
        <is>
          <t>整柜直送</t>
        </is>
      </c>
      <c r="B931" s="1" t="inlineStr">
        <is>
          <t>整柜直送</t>
        </is>
      </c>
      <c r="C931" s="1" t="inlineStr">
        <is>
          <t>Y-A6全美直送专线</t>
        </is>
      </c>
      <c r="D931" s="1" t="inlineStr">
        <is>
          <t>义乌</t>
        </is>
      </c>
      <c r="E931" s="1" t="inlineStr">
        <is>
          <t>LAS1</t>
        </is>
      </c>
      <c r="F931" s="134" t="n">
        <v>9.48</v>
      </c>
      <c r="G931" s="1" t="inlineStr">
        <is>
          <t>RMB/KG</t>
        </is>
      </c>
      <c r="H931" s="134" t="n">
        <v>0</v>
      </c>
      <c r="I931" s="1" t="inlineStr">
        <is>
          <t>2026-10-26</t>
        </is>
      </c>
      <c r="J931" s="1" t="inlineStr">
        <is>
          <t>凯琦FBA报价_当期.xlsx</t>
        </is>
      </c>
    </row>
    <row r="932">
      <c r="A932" s="1" t="inlineStr">
        <is>
          <t>整柜直送</t>
        </is>
      </c>
      <c r="B932" s="1" t="inlineStr">
        <is>
          <t>整柜直送</t>
        </is>
      </c>
      <c r="C932" s="1" t="inlineStr">
        <is>
          <t>Y-A6全美直送专线</t>
        </is>
      </c>
      <c r="D932" s="1" t="inlineStr">
        <is>
          <t>义乌</t>
        </is>
      </c>
      <c r="E932" s="1" t="inlineStr">
        <is>
          <t>GYR2</t>
        </is>
      </c>
      <c r="F932" s="134" t="n">
        <v>9.18</v>
      </c>
      <c r="G932" s="1" t="inlineStr">
        <is>
          <t>RMB/KG</t>
        </is>
      </c>
      <c r="H932" s="134" t="n">
        <v>0</v>
      </c>
      <c r="I932" s="1" t="inlineStr">
        <is>
          <t>2026-10-26</t>
        </is>
      </c>
      <c r="J932" s="1" t="inlineStr">
        <is>
          <t>凯琦FBA报价_当期.xlsx</t>
        </is>
      </c>
    </row>
    <row r="933">
      <c r="A933" s="1" t="inlineStr">
        <is>
          <t>整柜直送</t>
        </is>
      </c>
      <c r="B933" s="1" t="inlineStr">
        <is>
          <t>整柜直送</t>
        </is>
      </c>
      <c r="C933" s="1" t="inlineStr">
        <is>
          <t>Y-A6全美直送专线</t>
        </is>
      </c>
      <c r="D933" s="1" t="inlineStr">
        <is>
          <t>义乌</t>
        </is>
      </c>
      <c r="E933" s="1" t="inlineStr">
        <is>
          <t>GYR3</t>
        </is>
      </c>
      <c r="F933" s="134" t="n">
        <v>9.18</v>
      </c>
      <c r="G933" s="1" t="inlineStr">
        <is>
          <t>RMB/KG</t>
        </is>
      </c>
      <c r="H933" s="134" t="n">
        <v>0</v>
      </c>
      <c r="I933" s="1" t="inlineStr">
        <is>
          <t>2026-10-26</t>
        </is>
      </c>
      <c r="J933" s="1" t="inlineStr">
        <is>
          <t>凯琦FBA报价_当期.xlsx</t>
        </is>
      </c>
    </row>
    <row r="934">
      <c r="A934" s="1" t="inlineStr">
        <is>
          <t>整柜直送</t>
        </is>
      </c>
      <c r="B934" s="1" t="inlineStr">
        <is>
          <t>整柜直送</t>
        </is>
      </c>
      <c r="C934" s="1" t="inlineStr">
        <is>
          <t>Y-A6全美直送专线</t>
        </is>
      </c>
      <c r="D934" s="1" t="inlineStr">
        <is>
          <t>义乌</t>
        </is>
      </c>
      <c r="E934" s="1" t="inlineStr">
        <is>
          <t>MIT2</t>
        </is>
      </c>
      <c r="F934" s="134" t="n">
        <v>9.08</v>
      </c>
      <c r="G934" s="1" t="inlineStr">
        <is>
          <t>RMB/KG</t>
        </is>
      </c>
      <c r="H934" s="134" t="n">
        <v>0</v>
      </c>
      <c r="I934" s="1" t="inlineStr">
        <is>
          <t>2026-10-26</t>
        </is>
      </c>
      <c r="J934" s="1" t="inlineStr">
        <is>
          <t>凯琦FBA报价_当期.xlsx</t>
        </is>
      </c>
    </row>
    <row r="935">
      <c r="A935" s="1" t="inlineStr">
        <is>
          <t>整柜直送</t>
        </is>
      </c>
      <c r="B935" s="1" t="inlineStr">
        <is>
          <t>整柜直送</t>
        </is>
      </c>
      <c r="C935" s="1" t="inlineStr">
        <is>
          <t>Y-A6全美直送专线</t>
        </is>
      </c>
      <c r="D935" s="1" t="inlineStr">
        <is>
          <t>义乌</t>
        </is>
      </c>
      <c r="E935" s="1" t="inlineStr">
        <is>
          <t>IUSP</t>
        </is>
      </c>
      <c r="F935" s="134" t="n">
        <v>8.68</v>
      </c>
      <c r="G935" s="1" t="inlineStr">
        <is>
          <t>RMB/KG</t>
        </is>
      </c>
      <c r="H935" s="134" t="n">
        <v>0</v>
      </c>
      <c r="I935" s="1" t="inlineStr">
        <is>
          <t>2026-10-26</t>
        </is>
      </c>
      <c r="J935" s="1" t="inlineStr">
        <is>
          <t>凯琦FBA报价_当期.xlsx</t>
        </is>
      </c>
    </row>
    <row r="936">
      <c r="A936" s="1" t="inlineStr">
        <is>
          <t>整柜直送</t>
        </is>
      </c>
      <c r="B936" s="1" t="inlineStr">
        <is>
          <t>整柜直送</t>
        </is>
      </c>
      <c r="C936" s="1" t="inlineStr">
        <is>
          <t>Y-A6全美直送专线</t>
        </is>
      </c>
      <c r="D936" s="1" t="inlineStr">
        <is>
          <t>义乌</t>
        </is>
      </c>
      <c r="E936" s="1" t="inlineStr">
        <is>
          <t>GEU2</t>
        </is>
      </c>
      <c r="F936" s="134" t="n">
        <v>9.18</v>
      </c>
      <c r="G936" s="1" t="inlineStr">
        <is>
          <t>RMB/KG</t>
        </is>
      </c>
      <c r="H936" s="134" t="n">
        <v>0</v>
      </c>
      <c r="I936" s="1" t="inlineStr">
        <is>
          <t>2026-10-26</t>
        </is>
      </c>
      <c r="J936" s="1" t="inlineStr">
        <is>
          <t>凯琦FBA报价_当期.xlsx</t>
        </is>
      </c>
    </row>
    <row r="937">
      <c r="A937" s="1" t="inlineStr">
        <is>
          <t>整柜直送</t>
        </is>
      </c>
      <c r="B937" s="1" t="inlineStr">
        <is>
          <t>整柜直送</t>
        </is>
      </c>
      <c r="C937" s="1" t="inlineStr">
        <is>
          <t>Y-A6全美直送专线</t>
        </is>
      </c>
      <c r="D937" s="1" t="inlineStr">
        <is>
          <t>义乌</t>
        </is>
      </c>
      <c r="E937" s="1" t="inlineStr">
        <is>
          <t>GEU3</t>
        </is>
      </c>
      <c r="F937" s="134" t="n">
        <v>9.18</v>
      </c>
      <c r="G937" s="1" t="inlineStr">
        <is>
          <t>RMB/KG</t>
        </is>
      </c>
      <c r="H937" s="134" t="n">
        <v>0</v>
      </c>
      <c r="I937" s="1" t="inlineStr">
        <is>
          <t>2026-10-26</t>
        </is>
      </c>
      <c r="J937" s="1" t="inlineStr">
        <is>
          <t>凯琦FBA报价_当期.xlsx</t>
        </is>
      </c>
    </row>
    <row r="938">
      <c r="A938" s="1" t="inlineStr">
        <is>
          <t>整柜直送</t>
        </is>
      </c>
      <c r="B938" s="1" t="inlineStr">
        <is>
          <t>整柜直送</t>
        </is>
      </c>
      <c r="C938" s="1" t="inlineStr">
        <is>
          <t>Y-A6全美直送专线</t>
        </is>
      </c>
      <c r="D938" s="1" t="inlineStr">
        <is>
          <t>义乌</t>
        </is>
      </c>
      <c r="E938" s="1" t="inlineStr">
        <is>
          <t>IAH3</t>
        </is>
      </c>
      <c r="F938" s="134" t="n">
        <v>9.279999999999999</v>
      </c>
      <c r="G938" s="1" t="inlineStr">
        <is>
          <t>RMB/KG</t>
        </is>
      </c>
      <c r="H938" s="134" t="n">
        <v>0</v>
      </c>
      <c r="I938" s="1" t="inlineStr">
        <is>
          <t>2026-10-26</t>
        </is>
      </c>
      <c r="J938" s="1" t="inlineStr">
        <is>
          <t>凯琦FBA报价_当期.xlsx</t>
        </is>
      </c>
    </row>
    <row r="939">
      <c r="A939" s="1" t="inlineStr">
        <is>
          <t>整柜直送</t>
        </is>
      </c>
      <c r="B939" s="1" t="inlineStr">
        <is>
          <t>整柜直送</t>
        </is>
      </c>
      <c r="C939" s="1" t="inlineStr">
        <is>
          <t>Y-A6全美直送专线</t>
        </is>
      </c>
      <c r="D939" s="1" t="inlineStr">
        <is>
          <t>义乌</t>
        </is>
      </c>
      <c r="E939" s="1" t="inlineStr">
        <is>
          <t>FTW1</t>
        </is>
      </c>
      <c r="F939" s="134" t="n">
        <v>9.68</v>
      </c>
      <c r="G939" s="1" t="inlineStr">
        <is>
          <t>RMB/KG</t>
        </is>
      </c>
      <c r="H939" s="134" t="n">
        <v>0</v>
      </c>
      <c r="I939" s="1" t="inlineStr">
        <is>
          <t>2026-10-26</t>
        </is>
      </c>
      <c r="J939" s="1" t="inlineStr">
        <is>
          <t>凯琦FBA报价_当期.xlsx</t>
        </is>
      </c>
    </row>
    <row r="940">
      <c r="A940" s="1" t="inlineStr">
        <is>
          <t>整柜直送</t>
        </is>
      </c>
      <c r="B940" s="1" t="inlineStr">
        <is>
          <t>整柜直送</t>
        </is>
      </c>
      <c r="C940" s="1" t="inlineStr">
        <is>
          <t>Y-A6全美直送专线</t>
        </is>
      </c>
      <c r="D940" s="1" t="inlineStr">
        <is>
          <t>义乌</t>
        </is>
      </c>
      <c r="E940" s="1" t="inlineStr">
        <is>
          <t>MDW2</t>
        </is>
      </c>
      <c r="F940" s="134" t="n">
        <v>9.58</v>
      </c>
      <c r="G940" s="1" t="inlineStr">
        <is>
          <t>RMB/KG</t>
        </is>
      </c>
      <c r="H940" s="134" t="n">
        <v>0</v>
      </c>
      <c r="I940" s="1" t="inlineStr">
        <is>
          <t>2026-10-26</t>
        </is>
      </c>
      <c r="J940" s="1" t="inlineStr">
        <is>
          <t>凯琦FBA报价_当期.xlsx</t>
        </is>
      </c>
    </row>
    <row r="941">
      <c r="A941" s="1" t="inlineStr">
        <is>
          <t>整柜直送</t>
        </is>
      </c>
      <c r="B941" s="1" t="inlineStr">
        <is>
          <t>整柜直送</t>
        </is>
      </c>
      <c r="C941" s="1" t="inlineStr">
        <is>
          <t>Y-A6全美直送专线</t>
        </is>
      </c>
      <c r="D941" s="1" t="inlineStr">
        <is>
          <t>义乌</t>
        </is>
      </c>
      <c r="E941" s="1" t="inlineStr">
        <is>
          <t>IND9</t>
        </is>
      </c>
      <c r="F941" s="134" t="n">
        <v>9.58</v>
      </c>
      <c r="G941" s="1" t="inlineStr">
        <is>
          <t>RMB/KG</t>
        </is>
      </c>
      <c r="H941" s="134" t="n">
        <v>0</v>
      </c>
      <c r="I941" s="1" t="inlineStr">
        <is>
          <t>2026-10-26</t>
        </is>
      </c>
      <c r="J941" s="1" t="inlineStr">
        <is>
          <t>凯琦FBA报价_当期.xlsx</t>
        </is>
      </c>
    </row>
    <row r="942">
      <c r="A942" s="1" t="inlineStr">
        <is>
          <t>整柜直送</t>
        </is>
      </c>
      <c r="B942" s="1" t="inlineStr">
        <is>
          <t>整柜直送</t>
        </is>
      </c>
      <c r="C942" s="1" t="inlineStr">
        <is>
          <t>Y-A6全美直送专线</t>
        </is>
      </c>
      <c r="D942" s="1" t="inlineStr">
        <is>
          <t>义乌</t>
        </is>
      </c>
      <c r="E942" s="1" t="inlineStr">
        <is>
          <t>ABE8</t>
        </is>
      </c>
      <c r="F942" s="134" t="n">
        <v>9.18</v>
      </c>
      <c r="G942" s="1" t="inlineStr">
        <is>
          <t>RMB/KG</t>
        </is>
      </c>
      <c r="H942" s="134" t="n">
        <v>0</v>
      </c>
      <c r="I942" s="1" t="inlineStr">
        <is>
          <t>2026-10-26</t>
        </is>
      </c>
      <c r="J942" s="1" t="inlineStr">
        <is>
          <t>凯琦FBA报价_当期.xlsx</t>
        </is>
      </c>
    </row>
    <row r="943">
      <c r="A943" s="1" t="inlineStr">
        <is>
          <t>整柜直送</t>
        </is>
      </c>
      <c r="B943" s="1" t="inlineStr">
        <is>
          <t>整柜直送</t>
        </is>
      </c>
      <c r="C943" s="1" t="inlineStr">
        <is>
          <t>Y-A6全美直送专线</t>
        </is>
      </c>
      <c r="D943" s="1" t="inlineStr">
        <is>
          <t>义乌</t>
        </is>
      </c>
      <c r="E943" s="1" t="inlineStr">
        <is>
          <t>TEB9</t>
        </is>
      </c>
      <c r="F943" s="134" t="n">
        <v>9.18</v>
      </c>
      <c r="G943" s="1" t="inlineStr">
        <is>
          <t>RMB/KG</t>
        </is>
      </c>
      <c r="H943" s="134" t="n">
        <v>0</v>
      </c>
      <c r="I943" s="1" t="inlineStr">
        <is>
          <t>2026-10-26</t>
        </is>
      </c>
      <c r="J943" s="1" t="inlineStr">
        <is>
          <t>凯琦FBA报价_当期.xlsx</t>
        </is>
      </c>
    </row>
    <row r="944">
      <c r="A944" s="1" t="inlineStr">
        <is>
          <t>整柜直送</t>
        </is>
      </c>
      <c r="B944" s="1" t="inlineStr">
        <is>
          <t>整柜直送</t>
        </is>
      </c>
      <c r="C944" s="1" t="inlineStr">
        <is>
          <t>Y-A6全美直送专线</t>
        </is>
      </c>
      <c r="D944" s="1" t="inlineStr">
        <is>
          <t>义乌</t>
        </is>
      </c>
      <c r="E944" s="1" t="inlineStr">
        <is>
          <t>CLT2</t>
        </is>
      </c>
      <c r="F944" s="134" t="n">
        <v>9.880000000000001</v>
      </c>
      <c r="G944" s="1" t="inlineStr">
        <is>
          <t>RMB/KG</t>
        </is>
      </c>
      <c r="H944" s="134" t="n">
        <v>0</v>
      </c>
      <c r="I944" s="1" t="inlineStr">
        <is>
          <t>2026-10-26</t>
        </is>
      </c>
      <c r="J944" s="1" t="inlineStr">
        <is>
          <t>凯琦FBA报价_当期.xlsx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B311"/>
  <sheetViews>
    <sheetView workbookViewId="0">
      <selection activeCell="A1" sqref="A1"/>
    </sheetView>
  </sheetViews>
  <sheetFormatPr baseColWidth="8" defaultRowHeight="15"/>
  <cols>
    <col width="10" customWidth="1" style="67" min="1" max="1"/>
    <col width="14" customWidth="1" style="67" min="2" max="2"/>
    <col width="14" customWidth="1" style="67" min="3" max="3"/>
    <col width="60" customWidth="1" style="67" min="4" max="4"/>
  </cols>
  <sheetData>
    <row r="1">
      <c r="A1" s="99" t="inlineStr">
        <is>
          <t>起运地</t>
        </is>
      </c>
      <c r="B1" s="99" t="inlineStr">
        <is>
          <t>义乌FBA仓</t>
        </is>
      </c>
      <c r="C1" s="99" t="inlineStr">
        <is>
          <t>青岛FBA仓</t>
        </is>
      </c>
      <c r="D1" s="102" t="inlineStr">
        <is>
          <t>填写顺序：起运地 → FBA仓 → 运输方式 → 海运渠道。仓/渠道下拉仅含有报价项。</t>
        </is>
      </c>
      <c r="E1" s="1" t="inlineStr">
        <is>
          <t>义乌||ABE3</t>
        </is>
      </c>
      <c r="F1" s="181" t="inlineStr">
        <is>
          <t>起运地</t>
        </is>
      </c>
      <c r="G1" s="181" t="inlineStr">
        <is>
          <t>FBA仓</t>
        </is>
      </c>
      <c r="H1" s="181" t="inlineStr">
        <is>
          <t>该仓最低单价</t>
        </is>
      </c>
      <c r="I1" s="181" t="inlineStr">
        <is>
          <t>最低价渠道</t>
        </is>
      </c>
      <c r="J1" s="181" t="inlineStr">
        <is>
          <t>地毯附加</t>
        </is>
      </c>
      <c r="K1" s="1" t="n"/>
      <c r="L1" s="184" t="inlineStr">
        <is>
          <t>义乌可选渠道</t>
        </is>
      </c>
      <c r="M1" s="184" t="inlineStr">
        <is>
          <t>青岛可选渠道</t>
        </is>
      </c>
      <c r="N1" s="182" t="inlineStr">
        <is>
          <t>渠道下拉：默认「（最低价）」=按该仓最低价；选具体渠道=按你的选择计价</t>
        </is>
      </c>
      <c r="O1" s="1" t="n"/>
      <c r="P1" s="1" t="n"/>
      <c r="Q1" s="1" t="n"/>
      <c r="R1" s="1" t="n"/>
      <c r="S1" s="1" t="n"/>
      <c r="T1" s="1" t="inlineStr">
        <is>
          <t>义乌||BWI4</t>
        </is>
      </c>
      <c r="U1" s="1" t="inlineStr">
        <is>
          <t>义乌||CHA2</t>
        </is>
      </c>
      <c r="V1" s="1" t="inlineStr">
        <is>
          <t>义乌||CHO1</t>
        </is>
      </c>
      <c r="W1" s="1" t="inlineStr">
        <is>
          <t>义乌||CLT2</t>
        </is>
      </c>
      <c r="X1" s="1" t="inlineStr">
        <is>
          <t>义乌||CLT3</t>
        </is>
      </c>
      <c r="Y1" s="1" t="inlineStr">
        <is>
          <t>义乌||CLT6</t>
        </is>
      </c>
      <c r="Z1" s="1" t="inlineStr">
        <is>
          <t>义乌||CMH2</t>
        </is>
      </c>
      <c r="AA1" s="1" t="inlineStr">
        <is>
          <t>义乌||CMH3</t>
        </is>
      </c>
      <c r="AB1" s="1" t="inlineStr">
        <is>
          <t>义乌||DAL3</t>
        </is>
      </c>
      <c r="AC1" s="1" t="inlineStr">
        <is>
          <t>义乌||DCA6</t>
        </is>
      </c>
      <c r="AD1" s="1" t="inlineStr">
        <is>
          <t>义乌||DEN8</t>
        </is>
      </c>
      <c r="AE1" s="1" t="inlineStr">
        <is>
          <t>义乌||DET1</t>
        </is>
      </c>
      <c r="AF1" s="1" t="inlineStr">
        <is>
          <t>义乌||DET2</t>
        </is>
      </c>
      <c r="AG1" s="1" t="inlineStr">
        <is>
          <t>义乌||DFW6</t>
        </is>
      </c>
      <c r="AH1" s="1" t="inlineStr">
        <is>
          <t>义乌||DFW7</t>
        </is>
      </c>
      <c r="AI1" s="1" t="inlineStr">
        <is>
          <t>义乌||FAT2</t>
        </is>
      </c>
      <c r="AJ1" s="1" t="inlineStr">
        <is>
          <t>义乌||FOE1</t>
        </is>
      </c>
      <c r="AK1" s="1" t="inlineStr">
        <is>
          <t>义乌||FTW1</t>
        </is>
      </c>
      <c r="AL1" s="1" t="inlineStr">
        <is>
          <t>义乌||FTW2</t>
        </is>
      </c>
      <c r="AM1" s="1" t="inlineStr">
        <is>
          <t>义乌||FTW5</t>
        </is>
      </c>
      <c r="AN1" s="1" t="inlineStr">
        <is>
          <t>义乌||FTW9</t>
        </is>
      </c>
      <c r="AO1" s="1" t="inlineStr">
        <is>
          <t>义乌||FWA4</t>
        </is>
      </c>
      <c r="AP1" s="1" t="inlineStr">
        <is>
          <t>义乌||GEG2</t>
        </is>
      </c>
      <c r="AQ1" s="1" t="inlineStr">
        <is>
          <t>义乌||GEU2</t>
        </is>
      </c>
      <c r="AR1" s="1" t="inlineStr">
        <is>
          <t>义乌||GEU3</t>
        </is>
      </c>
      <c r="AS1" s="1" t="inlineStr">
        <is>
          <t>义乌||GSO1</t>
        </is>
      </c>
      <c r="AT1" s="1" t="inlineStr">
        <is>
          <t>义乌||GYR2</t>
        </is>
      </c>
      <c r="AU1" s="1" t="inlineStr">
        <is>
          <t>义乌||GYR3</t>
        </is>
      </c>
      <c r="AV1" s="1" t="inlineStr">
        <is>
          <t>义乌||HEA2</t>
        </is>
      </c>
      <c r="AW1" s="1" t="inlineStr">
        <is>
          <t>义乌||HGR2</t>
        </is>
      </c>
      <c r="AX1" s="1" t="inlineStr">
        <is>
          <t>义乌||HGR6</t>
        </is>
      </c>
      <c r="AY1" s="1" t="inlineStr">
        <is>
          <t>义乌||HIA1</t>
        </is>
      </c>
      <c r="AZ1" s="1" t="inlineStr">
        <is>
          <t>义乌||HLI2</t>
        </is>
      </c>
      <c r="BA1" s="1" t="inlineStr">
        <is>
          <t>义乌||HOU1</t>
        </is>
      </c>
      <c r="BB1" s="1" t="inlineStr">
        <is>
          <t>义乌||HOU2</t>
        </is>
      </c>
      <c r="BC1" s="1" t="inlineStr">
        <is>
          <t>义乌||HOU3</t>
        </is>
      </c>
      <c r="BD1" s="1" t="inlineStr">
        <is>
          <t>义乌||HOU7</t>
        </is>
      </c>
      <c r="BE1" s="1" t="inlineStr">
        <is>
          <t>义乌||HOU8</t>
        </is>
      </c>
      <c r="BF1" s="1" t="inlineStr">
        <is>
          <t>义乌||HSV1</t>
        </is>
      </c>
      <c r="BG1" s="1" t="inlineStr">
        <is>
          <t>义乌||IAH3</t>
        </is>
      </c>
      <c r="BH1" s="1" t="inlineStr">
        <is>
          <t>义乌||IAZ1</t>
        </is>
      </c>
      <c r="BI1" s="1" t="inlineStr">
        <is>
          <t>义乌||ICA3</t>
        </is>
      </c>
      <c r="BJ1" s="1" t="inlineStr">
        <is>
          <t>义乌||ICT2</t>
        </is>
      </c>
      <c r="BK1" s="1" t="inlineStr">
        <is>
          <t>义乌||IGA3</t>
        </is>
      </c>
      <c r="BL1" s="1" t="inlineStr">
        <is>
          <t>义乌||IGQ2</t>
        </is>
      </c>
      <c r="BM1" s="1" t="inlineStr">
        <is>
          <t>义乌||ILG1</t>
        </is>
      </c>
      <c r="BN1" s="1" t="inlineStr">
        <is>
          <t>义乌||IMI1</t>
        </is>
      </c>
      <c r="BO1" s="1" t="inlineStr">
        <is>
          <t>义乌||IMO1</t>
        </is>
      </c>
      <c r="BP1" s="1" t="inlineStr">
        <is>
          <t>义乌||IMS1</t>
        </is>
      </c>
      <c r="BQ1" s="1" t="inlineStr">
        <is>
          <t>义乌||INC1</t>
        </is>
      </c>
      <c r="BR1" s="1" t="inlineStr">
        <is>
          <t>义乌||IND5</t>
        </is>
      </c>
      <c r="BS1" s="1" t="inlineStr">
        <is>
          <t>义乌||IND9</t>
        </is>
      </c>
      <c r="BT1" s="1" t="inlineStr">
        <is>
          <t>义乌||IPA1</t>
        </is>
      </c>
      <c r="BU1" s="1" t="inlineStr">
        <is>
          <t>义乌||ITX3</t>
        </is>
      </c>
      <c r="BV1" s="1" t="inlineStr">
        <is>
          <t>义乌||IUSJ</t>
        </is>
      </c>
      <c r="BW1" s="1" t="inlineStr">
        <is>
          <t>义乌||IUSP</t>
        </is>
      </c>
      <c r="BX1" s="1" t="inlineStr">
        <is>
          <t>义乌||IUSR</t>
        </is>
      </c>
      <c r="BY1" s="1" t="inlineStr">
        <is>
          <t>义乌||IUST</t>
        </is>
      </c>
      <c r="BZ1" s="1" t="inlineStr">
        <is>
          <t>义乌||IUTE</t>
        </is>
      </c>
      <c r="CA1" s="1" t="inlineStr">
        <is>
          <t>义乌||IUTH</t>
        </is>
      </c>
      <c r="CB1" s="1" t="inlineStr">
        <is>
          <t>义乌||IUTJ</t>
        </is>
      </c>
      <c r="CC1" s="1" t="inlineStr">
        <is>
          <t>义乌||IUTL</t>
        </is>
      </c>
      <c r="CD1" s="1" t="inlineStr">
        <is>
          <t>义乌||IWA6</t>
        </is>
      </c>
      <c r="CE1" s="1" t="inlineStr">
        <is>
          <t>义乌||JAX3</t>
        </is>
      </c>
      <c r="CF1" s="1" t="inlineStr">
        <is>
          <t>义乌||JVL1</t>
        </is>
      </c>
      <c r="CG1" s="1" t="inlineStr">
        <is>
          <t>义乌||LAS1</t>
        </is>
      </c>
      <c r="CH1" s="1" t="inlineStr">
        <is>
          <t>义乌||LAS6</t>
        </is>
      </c>
      <c r="CI1" s="1" t="inlineStr">
        <is>
          <t>义乌||LAX9</t>
        </is>
      </c>
      <c r="CJ1" s="1" t="inlineStr">
        <is>
          <t>义乌||LBE1</t>
        </is>
      </c>
      <c r="CK1" s="1" t="inlineStr">
        <is>
          <t>义乌||LFT1</t>
        </is>
      </c>
      <c r="CL1" s="1" t="inlineStr">
        <is>
          <t>义乌||LGB4</t>
        </is>
      </c>
      <c r="CM1" s="1" t="inlineStr">
        <is>
          <t>义乌||LGB6</t>
        </is>
      </c>
      <c r="CN1" s="1" t="inlineStr">
        <is>
          <t>义乌||LGB8</t>
        </is>
      </c>
      <c r="CO1" s="1" t="inlineStr">
        <is>
          <t>义乌||LIT2</t>
        </is>
      </c>
      <c r="CP1" s="1" t="inlineStr">
        <is>
          <t>义乌||MCC1</t>
        </is>
      </c>
      <c r="CQ1" s="1" t="inlineStr">
        <is>
          <t>义乌||MCE1</t>
        </is>
      </c>
      <c r="CR1" s="1" t="inlineStr">
        <is>
          <t>义乌||MCI4</t>
        </is>
      </c>
      <c r="CS1" s="1" t="inlineStr">
        <is>
          <t>义乌||MCO2</t>
        </is>
      </c>
      <c r="CT1" s="1" t="inlineStr">
        <is>
          <t>义乌||MDT1</t>
        </is>
      </c>
      <c r="CU1" s="1" t="inlineStr">
        <is>
          <t>义乌||MDT4</t>
        </is>
      </c>
      <c r="CV1" s="1" t="inlineStr">
        <is>
          <t>义乌||MDW2</t>
        </is>
      </c>
      <c r="CW1" s="1" t="inlineStr">
        <is>
          <t>义乌||MDW6</t>
        </is>
      </c>
      <c r="CX1" s="1" t="inlineStr">
        <is>
          <t>义乌||MEM1</t>
        </is>
      </c>
      <c r="CY1" s="1" t="inlineStr">
        <is>
          <t>义乌||MEM8</t>
        </is>
      </c>
      <c r="CZ1" s="1" t="inlineStr">
        <is>
          <t>义乌||MGE1</t>
        </is>
      </c>
      <c r="DA1" s="1" t="inlineStr">
        <is>
          <t>义乌||MGE3</t>
        </is>
      </c>
      <c r="DB1" s="1" t="inlineStr">
        <is>
          <t>义乌||MIT2</t>
        </is>
      </c>
      <c r="DC1" s="1" t="inlineStr">
        <is>
          <t>义乌||MKC4</t>
        </is>
      </c>
      <c r="DD1" s="1" t="inlineStr">
        <is>
          <t>义乌||MQJ1</t>
        </is>
      </c>
      <c r="DE1" s="1" t="inlineStr">
        <is>
          <t>义乌||MQY2</t>
        </is>
      </c>
      <c r="DF1" s="1" t="inlineStr">
        <is>
          <t>义乌||OAK3</t>
        </is>
      </c>
      <c r="DG1" s="1" t="inlineStr">
        <is>
          <t>义乌||OKC2</t>
        </is>
      </c>
      <c r="DH1" s="1" t="inlineStr">
        <is>
          <t>义乌||ONT8</t>
        </is>
      </c>
      <c r="DI1" s="1" t="inlineStr">
        <is>
          <t>义乌||ORD2</t>
        </is>
      </c>
      <c r="DJ1" s="1" t="inlineStr">
        <is>
          <t>义乌||ORF2</t>
        </is>
      </c>
      <c r="DK1" s="1" t="inlineStr">
        <is>
          <t>义乌||PBI2</t>
        </is>
      </c>
      <c r="DL1" s="1" t="inlineStr">
        <is>
          <t>义乌||PDX7</t>
        </is>
      </c>
      <c r="DM1" s="1" t="inlineStr">
        <is>
          <t>义乌||PHX5</t>
        </is>
      </c>
      <c r="DN1" s="1" t="inlineStr">
        <is>
          <t>义乌||PHX7</t>
        </is>
      </c>
      <c r="DO1" s="1" t="inlineStr">
        <is>
          <t>义乌||PIT2</t>
        </is>
      </c>
      <c r="DP1" s="1" t="inlineStr">
        <is>
          <t>义乌||POC1</t>
        </is>
      </c>
      <c r="DQ1" s="1" t="inlineStr">
        <is>
          <t>义乌||POC2</t>
        </is>
      </c>
      <c r="DR1" s="1" t="inlineStr">
        <is>
          <t>义乌||POC3</t>
        </is>
      </c>
      <c r="DS1" s="1" t="inlineStr">
        <is>
          <t>义乌||PSP3</t>
        </is>
      </c>
      <c r="DT1" s="1" t="inlineStr">
        <is>
          <t>义乌||QXY8</t>
        </is>
      </c>
      <c r="DU1" s="1" t="inlineStr">
        <is>
          <t>义乌||RDU2</t>
        </is>
      </c>
      <c r="DV1" s="1" t="inlineStr">
        <is>
          <t>义乌||RFD2</t>
        </is>
      </c>
      <c r="DW1" s="1" t="inlineStr">
        <is>
          <t>义乌||RFD4</t>
        </is>
      </c>
      <c r="DX1" s="1" t="inlineStr">
        <is>
          <t>义乌||RMN3</t>
        </is>
      </c>
      <c r="DY1" s="1" t="inlineStr">
        <is>
          <t>义乌||RYY2</t>
        </is>
      </c>
      <c r="DZ1" s="1" t="inlineStr">
        <is>
          <t>义乌||SAT1</t>
        </is>
      </c>
      <c r="EA1" s="1" t="inlineStr">
        <is>
          <t>义乌||SAT4</t>
        </is>
      </c>
      <c r="EB1" s="1" t="inlineStr">
        <is>
          <t>义乌||SAT6</t>
        </is>
      </c>
      <c r="EC1" s="1" t="inlineStr">
        <is>
          <t>义乌||SBD1</t>
        </is>
      </c>
      <c r="ED1" s="1" t="inlineStr">
        <is>
          <t>义乌||SBD2</t>
        </is>
      </c>
      <c r="EE1" s="1" t="inlineStr">
        <is>
          <t>义乌||SCK1</t>
        </is>
      </c>
      <c r="EF1" s="1" t="inlineStr">
        <is>
          <t>义乌||SCK3</t>
        </is>
      </c>
      <c r="EG1" s="1" t="inlineStr">
        <is>
          <t>义乌||SCK4</t>
        </is>
      </c>
      <c r="EH1" s="1" t="inlineStr">
        <is>
          <t>义乌||SCK8</t>
        </is>
      </c>
      <c r="EI1" s="1" t="inlineStr">
        <is>
          <t>义乌||SLC2</t>
        </is>
      </c>
      <c r="EJ1" s="1" t="inlineStr">
        <is>
          <t>义乌||SMF1</t>
        </is>
      </c>
      <c r="EK1" s="1" t="inlineStr">
        <is>
          <t>义乌||SMF3</t>
        </is>
      </c>
      <c r="EL1" s="1" t="inlineStr">
        <is>
          <t>义乌||SMF6</t>
        </is>
      </c>
      <c r="EM1" s="1" t="inlineStr">
        <is>
          <t>义乌||SMF7</t>
        </is>
      </c>
      <c r="EN1" s="1" t="inlineStr">
        <is>
          <t>义乌||SNA4</t>
        </is>
      </c>
      <c r="EO1" s="1" t="inlineStr">
        <is>
          <t>义乌||STL3</t>
        </is>
      </c>
      <c r="EP1" s="1" t="inlineStr">
        <is>
          <t>义乌||STL4</t>
        </is>
      </c>
      <c r="EQ1" s="1" t="inlineStr">
        <is>
          <t>义乌||SWF1</t>
        </is>
      </c>
      <c r="ER1" s="1" t="inlineStr">
        <is>
          <t>义乌||SWF2</t>
        </is>
      </c>
      <c r="ES1" s="1" t="inlineStr">
        <is>
          <t>义乌||TCY1</t>
        </is>
      </c>
      <c r="ET1" s="1" t="inlineStr">
        <is>
          <t>义乌||TCY2</t>
        </is>
      </c>
      <c r="EU1" s="1" t="inlineStr">
        <is>
          <t>义乌||TEB3</t>
        </is>
      </c>
      <c r="EV1" s="1" t="inlineStr">
        <is>
          <t>义乌||TEB4</t>
        </is>
      </c>
      <c r="EW1" s="1" t="inlineStr">
        <is>
          <t>义乌||TEB6</t>
        </is>
      </c>
      <c r="EX1" s="1" t="inlineStr">
        <is>
          <t>义乌||TEB9</t>
        </is>
      </c>
      <c r="EY1" s="1" t="inlineStr">
        <is>
          <t>义乌||TOL3</t>
        </is>
      </c>
      <c r="EZ1" s="1" t="inlineStr">
        <is>
          <t>义乌||TPA2</t>
        </is>
      </c>
      <c r="FA1" s="1" t="inlineStr">
        <is>
          <t>义乌||TPA3</t>
        </is>
      </c>
      <c r="FB1" s="1" t="inlineStr">
        <is>
          <t>义乌||TTN2</t>
        </is>
      </c>
      <c r="FC1" s="1" t="inlineStr">
        <is>
          <t>义乌||VGT2</t>
        </is>
      </c>
      <c r="FD1" s="1" t="inlineStr">
        <is>
          <t>义乌||XCAB</t>
        </is>
      </c>
      <c r="FE1" s="1" t="inlineStr">
        <is>
          <t>义乌||XEW5</t>
        </is>
      </c>
      <c r="FF1" s="1" t="inlineStr">
        <is>
          <t>义乌||XLX1</t>
        </is>
      </c>
      <c r="FG1" s="1" t="inlineStr">
        <is>
          <t>义乌||XLX6</t>
        </is>
      </c>
      <c r="FH1" s="1" t="inlineStr">
        <is>
          <t>义乌||XLX7</t>
        </is>
      </c>
      <c r="FI1" s="1" t="inlineStr">
        <is>
          <t>义乌||XMI3</t>
        </is>
      </c>
      <c r="FJ1" s="1" t="inlineStr">
        <is>
          <t>义乌||XPB2</t>
        </is>
      </c>
      <c r="FK1" s="1" t="inlineStr">
        <is>
          <t>义乌||XPH1</t>
        </is>
      </c>
      <c r="FL1" s="1" t="inlineStr">
        <is>
          <t>义乌||XRI3</t>
        </is>
      </c>
      <c r="FM1" s="1" t="inlineStr">
        <is>
          <t>义乌||XYY1</t>
        </is>
      </c>
      <c r="FN1" s="1" t="inlineStr">
        <is>
          <t>义乌||XYY3</t>
        </is>
      </c>
      <c r="FO1" s="1" t="inlineStr">
        <is>
          <t>义乌||XYY4</t>
        </is>
      </c>
      <c r="FP1" s="1" t="inlineStr">
        <is>
          <t>义乌||YEG1</t>
        </is>
      </c>
      <c r="FQ1" s="1" t="inlineStr">
        <is>
          <t>义乌||YEG2</t>
        </is>
      </c>
      <c r="FR1" s="1" t="inlineStr">
        <is>
          <t>义乌||YGK1</t>
        </is>
      </c>
      <c r="FS1" s="1" t="inlineStr">
        <is>
          <t>义乌||YHM1</t>
        </is>
      </c>
      <c r="FT1" s="1" t="inlineStr">
        <is>
          <t>义乌||YOO1</t>
        </is>
      </c>
      <c r="FU1" s="1" t="inlineStr">
        <is>
          <t>义乌||YOW1</t>
        </is>
      </c>
      <c r="FV1" s="1" t="inlineStr">
        <is>
          <t>义乌||YOW3</t>
        </is>
      </c>
      <c r="FW1" s="1" t="inlineStr">
        <is>
          <t>义乌||YVR1</t>
        </is>
      </c>
      <c r="FX1" s="1" t="inlineStr">
        <is>
          <t>义乌||YVR2</t>
        </is>
      </c>
      <c r="FY1" s="1" t="inlineStr">
        <is>
          <t>义乌||YVR3</t>
        </is>
      </c>
      <c r="FZ1" s="1" t="inlineStr">
        <is>
          <t>义乌||YVR4</t>
        </is>
      </c>
      <c r="GA1" s="1" t="inlineStr">
        <is>
          <t>义乌||YXU1</t>
        </is>
      </c>
      <c r="GB1" s="1" t="inlineStr">
        <is>
          <t>义乌||YXX2</t>
        </is>
      </c>
      <c r="GC1" s="1" t="inlineStr">
        <is>
          <t>义乌||YYC1</t>
        </is>
      </c>
      <c r="GD1" s="1" t="inlineStr">
        <is>
          <t>义乌||YYC4</t>
        </is>
      </c>
      <c r="GE1" s="1" t="inlineStr">
        <is>
          <t>义乌||YYC6</t>
        </is>
      </c>
      <c r="GF1" s="1" t="inlineStr">
        <is>
          <t>义乌||YYZ1</t>
        </is>
      </c>
      <c r="GG1" s="1" t="inlineStr">
        <is>
          <t>义乌||YYZ3</t>
        </is>
      </c>
      <c r="GH1" s="1" t="inlineStr">
        <is>
          <t>义乌||YYZ4</t>
        </is>
      </c>
      <c r="GI1" s="1" t="inlineStr">
        <is>
          <t>义乌||YYZ6</t>
        </is>
      </c>
      <c r="GJ1" s="1" t="inlineStr">
        <is>
          <t>义乌||YYZ7</t>
        </is>
      </c>
      <c r="GK1" s="1" t="inlineStr">
        <is>
          <t>义乌||YYZ9</t>
        </is>
      </c>
      <c r="GL1" s="1" t="inlineStr">
        <is>
          <t>义乌||凯琦美西仓</t>
        </is>
      </c>
      <c r="GM1" s="1" t="inlineStr">
        <is>
          <t>义乌||商业地址</t>
        </is>
      </c>
      <c r="GN1" s="1" t="inlineStr">
        <is>
          <t>义乌||美国东岸(邮编0.1.2.3.4开头)</t>
        </is>
      </c>
      <c r="GO1" s="1" t="inlineStr">
        <is>
          <t>义乌||美国中部(邮编5.6.7开头)</t>
        </is>
      </c>
      <c r="GP1" s="1" t="inlineStr">
        <is>
          <t>义乌||美国西岸北（邮编97.98.99开头）</t>
        </is>
      </c>
      <c r="GQ1" s="1" t="inlineStr">
        <is>
          <t>青岛||ABE3</t>
        </is>
      </c>
      <c r="GR1" s="1" t="inlineStr">
        <is>
          <t>青岛||ABE4</t>
        </is>
      </c>
      <c r="GS1" s="1" t="inlineStr">
        <is>
          <t>青岛||ABE8</t>
        </is>
      </c>
      <c r="GT1" s="1" t="inlineStr">
        <is>
          <t>青岛||ABQ2</t>
        </is>
      </c>
      <c r="GU1" s="1" t="inlineStr">
        <is>
          <t>青岛||ACY2</t>
        </is>
      </c>
      <c r="GV1" s="1" t="inlineStr">
        <is>
          <t>青岛||AKR1</t>
        </is>
      </c>
      <c r="GW1" s="1" t="inlineStr">
        <is>
          <t>青岛||ALB1</t>
        </is>
      </c>
      <c r="GX1" s="1" t="inlineStr">
        <is>
          <t>青岛||AVP1</t>
        </is>
      </c>
      <c r="GY1" s="1" t="inlineStr">
        <is>
          <t>青岛||AVP9</t>
        </is>
      </c>
      <c r="GZ1" s="1" t="inlineStr">
        <is>
          <t>青岛||BDL6</t>
        </is>
      </c>
      <c r="HA1" s="1" t="inlineStr">
        <is>
          <t>青岛||BJC1</t>
        </is>
      </c>
      <c r="HB1" s="1" t="inlineStr">
        <is>
          <t>青岛||BNA2</t>
        </is>
      </c>
      <c r="HC1" s="1" t="inlineStr">
        <is>
          <t>青岛||BNA6</t>
        </is>
      </c>
      <c r="HD1" s="1" t="inlineStr">
        <is>
          <t>青岛||BOS7</t>
        </is>
      </c>
      <c r="HE1" s="1" t="inlineStr">
        <is>
          <t>青岛||BWI4</t>
        </is>
      </c>
      <c r="HF1" s="1" t="inlineStr">
        <is>
          <t>青岛||CHA2</t>
        </is>
      </c>
      <c r="HG1" s="1" t="inlineStr">
        <is>
          <t>青岛||CHO1</t>
        </is>
      </c>
      <c r="HH1" s="1" t="inlineStr">
        <is>
          <t>青岛||CLT2</t>
        </is>
      </c>
      <c r="HI1" s="1" t="inlineStr">
        <is>
          <t>青岛||CLT6</t>
        </is>
      </c>
      <c r="HJ1" s="1" t="inlineStr">
        <is>
          <t>青岛||CMH2</t>
        </is>
      </c>
      <c r="HK1" s="1" t="inlineStr">
        <is>
          <t>青岛||CMH3</t>
        </is>
      </c>
      <c r="HL1" s="1" t="inlineStr">
        <is>
          <t>青岛||DCA6</t>
        </is>
      </c>
      <c r="HM1" s="1" t="inlineStr">
        <is>
          <t>青岛||DEN8</t>
        </is>
      </c>
      <c r="HN1" s="1" t="inlineStr">
        <is>
          <t>青岛||FAT2</t>
        </is>
      </c>
      <c r="HO1" s="1" t="inlineStr">
        <is>
          <t>青岛||FTW1</t>
        </is>
      </c>
      <c r="HP1" s="1" t="inlineStr">
        <is>
          <t>青岛||FWA4</t>
        </is>
      </c>
      <c r="HQ1" s="1" t="inlineStr">
        <is>
          <t>青岛||GEG2</t>
        </is>
      </c>
      <c r="HR1" s="1" t="inlineStr">
        <is>
          <t>青岛||GEU2</t>
        </is>
      </c>
      <c r="HS1" s="1" t="inlineStr">
        <is>
          <t>青岛||GEU3</t>
        </is>
      </c>
      <c r="HT1" s="1" t="inlineStr">
        <is>
          <t>青岛||GSO1</t>
        </is>
      </c>
      <c r="HU1" s="1" t="inlineStr">
        <is>
          <t>青岛||GYR2</t>
        </is>
      </c>
      <c r="HV1" s="1" t="inlineStr">
        <is>
          <t>青岛||GYR3</t>
        </is>
      </c>
      <c r="HW1" s="1" t="inlineStr">
        <is>
          <t>青岛||HEA2</t>
        </is>
      </c>
      <c r="HX1" s="1" t="inlineStr">
        <is>
          <t>青岛||HGR2</t>
        </is>
      </c>
      <c r="HY1" s="1" t="inlineStr">
        <is>
          <t>青岛||HGR6</t>
        </is>
      </c>
      <c r="HZ1" s="1" t="inlineStr">
        <is>
          <t>青岛||HIA1</t>
        </is>
      </c>
      <c r="IA1" s="1" t="inlineStr">
        <is>
          <t>青岛||HLI2</t>
        </is>
      </c>
      <c r="IB1" s="1" t="inlineStr">
        <is>
          <t>青岛||HSV1</t>
        </is>
      </c>
      <c r="IC1" s="1" t="inlineStr">
        <is>
          <t>青岛||IAH3</t>
        </is>
      </c>
      <c r="ID1" s="1" t="inlineStr">
        <is>
          <t>青岛||IAZ1</t>
        </is>
      </c>
      <c r="IE1" s="1" t="inlineStr">
        <is>
          <t>青岛||ILG1</t>
        </is>
      </c>
      <c r="IF1" s="1" t="inlineStr">
        <is>
          <t>青岛||IND9</t>
        </is>
      </c>
      <c r="IG1" s="1" t="inlineStr">
        <is>
          <t>青岛||IPA1</t>
        </is>
      </c>
      <c r="IH1" s="1" t="inlineStr">
        <is>
          <t>青岛||ITX3</t>
        </is>
      </c>
      <c r="II1" s="1" t="inlineStr">
        <is>
          <t>青岛||IUSJ</t>
        </is>
      </c>
      <c r="IJ1" s="1" t="inlineStr">
        <is>
          <t>青岛||IUSP</t>
        </is>
      </c>
      <c r="IK1" s="1" t="inlineStr">
        <is>
          <t>青岛||IUSR</t>
        </is>
      </c>
      <c r="IL1" s="1" t="inlineStr">
        <is>
          <t>青岛||IUST</t>
        </is>
      </c>
      <c r="IM1" s="1" t="inlineStr">
        <is>
          <t>青岛||IUTE</t>
        </is>
      </c>
      <c r="IN1" s="1" t="inlineStr">
        <is>
          <t>青岛||IUTJ</t>
        </is>
      </c>
      <c r="IO1" s="1" t="inlineStr">
        <is>
          <t>青岛||IUTL</t>
        </is>
      </c>
      <c r="IP1" s="1" t="inlineStr">
        <is>
          <t>青岛||LAS1</t>
        </is>
      </c>
      <c r="IQ1" s="1" t="inlineStr">
        <is>
          <t>青岛||LAS6</t>
        </is>
      </c>
      <c r="IR1" s="1" t="inlineStr">
        <is>
          <t>青岛||LAX9</t>
        </is>
      </c>
      <c r="IS1" s="1" t="inlineStr">
        <is>
          <t>青岛||LBE1</t>
        </is>
      </c>
      <c r="IT1" s="1" t="inlineStr">
        <is>
          <t>青岛||LGB4</t>
        </is>
      </c>
      <c r="IU1" s="1" t="inlineStr">
        <is>
          <t>青岛||LGB6</t>
        </is>
      </c>
      <c r="IV1" s="1" t="inlineStr">
        <is>
          <t>青岛||LGB8</t>
        </is>
      </c>
      <c r="IW1" s="1" t="inlineStr">
        <is>
          <t>青岛||MCC1</t>
        </is>
      </c>
      <c r="IX1" s="1" t="inlineStr">
        <is>
          <t>青岛||MCE1</t>
        </is>
      </c>
      <c r="IY1" s="1" t="inlineStr">
        <is>
          <t>青岛||MCO2</t>
        </is>
      </c>
      <c r="IZ1" s="1" t="inlineStr">
        <is>
          <t>青岛||MDT1</t>
        </is>
      </c>
      <c r="JA1" s="1" t="inlineStr">
        <is>
          <t>青岛||MDT4</t>
        </is>
      </c>
      <c r="JB1" s="1" t="inlineStr">
        <is>
          <t>青岛||MDW2</t>
        </is>
      </c>
      <c r="JC1" s="1" t="inlineStr">
        <is>
          <t>青岛||MEM1</t>
        </is>
      </c>
      <c r="JD1" s="1" t="inlineStr">
        <is>
          <t>青岛||MGE1</t>
        </is>
      </c>
      <c r="JE1" s="1" t="inlineStr">
        <is>
          <t>青岛||MGE3</t>
        </is>
      </c>
      <c r="JF1" s="1" t="inlineStr">
        <is>
          <t>青岛||MIT2</t>
        </is>
      </c>
      <c r="JG1" s="1" t="inlineStr">
        <is>
          <t>青岛||MQJ1</t>
        </is>
      </c>
      <c r="JH1" s="1" t="inlineStr">
        <is>
          <t>青岛||OAK3</t>
        </is>
      </c>
      <c r="JI1" s="1" t="inlineStr">
        <is>
          <t>青岛||ONT8</t>
        </is>
      </c>
      <c r="JJ1" s="1" t="inlineStr">
        <is>
          <t>青岛||ORF2</t>
        </is>
      </c>
      <c r="JK1" s="1" t="inlineStr">
        <is>
          <t>青岛||PDX7</t>
        </is>
      </c>
      <c r="JL1" s="1" t="inlineStr">
        <is>
          <t>青岛||PHX5</t>
        </is>
      </c>
      <c r="JM1" s="1" t="inlineStr">
        <is>
          <t>青岛||PHX7</t>
        </is>
      </c>
      <c r="JN1" s="1" t="inlineStr">
        <is>
          <t>青岛||PIT2</t>
        </is>
      </c>
      <c r="JO1" s="1" t="inlineStr">
        <is>
          <t>青岛||POC1</t>
        </is>
      </c>
      <c r="JP1" s="1" t="inlineStr">
        <is>
          <t>青岛||POC2</t>
        </is>
      </c>
      <c r="JQ1" s="1" t="inlineStr">
        <is>
          <t>青岛||POC3</t>
        </is>
      </c>
      <c r="JR1" s="1" t="inlineStr">
        <is>
          <t>青岛||PSP3</t>
        </is>
      </c>
      <c r="JS1" s="1" t="inlineStr">
        <is>
          <t>青岛||QXY8</t>
        </is>
      </c>
      <c r="JT1" s="1" t="inlineStr">
        <is>
          <t>青岛||RDU2</t>
        </is>
      </c>
      <c r="JU1" s="1" t="inlineStr">
        <is>
          <t>青岛||RFD2</t>
        </is>
      </c>
      <c r="JV1" s="1" t="inlineStr">
        <is>
          <t>青岛||RMN3</t>
        </is>
      </c>
      <c r="JW1" s="1" t="inlineStr">
        <is>
          <t>青岛||RYY2</t>
        </is>
      </c>
      <c r="JX1" s="1" t="inlineStr">
        <is>
          <t>青岛||SBD1</t>
        </is>
      </c>
      <c r="JY1" s="1" t="inlineStr">
        <is>
          <t>青岛||SBD2</t>
        </is>
      </c>
      <c r="JZ1" s="1" t="inlineStr">
        <is>
          <t>青岛||SCK1</t>
        </is>
      </c>
      <c r="KA1" s="1" t="inlineStr">
        <is>
          <t>青岛||SCK4</t>
        </is>
      </c>
      <c r="KB1" s="1" t="inlineStr">
        <is>
          <t>青岛||SCK8</t>
        </is>
      </c>
      <c r="KC1" s="1" t="inlineStr">
        <is>
          <t>青岛||SLC2</t>
        </is>
      </c>
      <c r="KD1" s="1" t="inlineStr">
        <is>
          <t>青岛||SMF3</t>
        </is>
      </c>
      <c r="KE1" s="1" t="inlineStr">
        <is>
          <t>青岛||SMF6</t>
        </is>
      </c>
      <c r="KF1" s="1" t="inlineStr">
        <is>
          <t>青岛||SNA4</t>
        </is>
      </c>
      <c r="KG1" s="1" t="inlineStr">
        <is>
          <t>青岛||SWF1</t>
        </is>
      </c>
      <c r="KH1" s="1" t="inlineStr">
        <is>
          <t>青岛||SWF2</t>
        </is>
      </c>
      <c r="KI1" s="1" t="inlineStr">
        <is>
          <t>青岛||TCY1</t>
        </is>
      </c>
      <c r="KJ1" s="1" t="inlineStr">
        <is>
          <t>青岛||TCY2</t>
        </is>
      </c>
      <c r="KK1" s="1" t="inlineStr">
        <is>
          <t>青岛||TEB3</t>
        </is>
      </c>
      <c r="KL1" s="1" t="inlineStr">
        <is>
          <t>青岛||TEB4</t>
        </is>
      </c>
      <c r="KM1" s="1" t="inlineStr">
        <is>
          <t>青岛||TEB6</t>
        </is>
      </c>
      <c r="KN1" s="1" t="inlineStr">
        <is>
          <t>青岛||TEB9</t>
        </is>
      </c>
      <c r="KO1" s="1" t="inlineStr">
        <is>
          <t>青岛||TPA2</t>
        </is>
      </c>
      <c r="KP1" s="1" t="inlineStr">
        <is>
          <t>青岛||TPA3</t>
        </is>
      </c>
      <c r="KQ1" s="1" t="inlineStr">
        <is>
          <t>青岛||TTN2</t>
        </is>
      </c>
      <c r="KR1" s="1" t="inlineStr">
        <is>
          <t>青岛||VGT2</t>
        </is>
      </c>
      <c r="KS1" s="1" t="inlineStr">
        <is>
          <t>青岛||XEW5</t>
        </is>
      </c>
      <c r="KT1" s="1" t="inlineStr">
        <is>
          <t>青岛||XLX1</t>
        </is>
      </c>
      <c r="KU1" s="1" t="inlineStr">
        <is>
          <t>青岛||XLX6</t>
        </is>
      </c>
      <c r="KV1" s="1" t="inlineStr">
        <is>
          <t>青岛||XLX7</t>
        </is>
      </c>
      <c r="KW1" s="1" t="inlineStr">
        <is>
          <t>青岛||XPH1</t>
        </is>
      </c>
      <c r="KX1" s="1" t="inlineStr">
        <is>
          <t>青岛||XRI3</t>
        </is>
      </c>
      <c r="KY1" s="1" t="inlineStr">
        <is>
          <t>青岛||凯琦美西仓</t>
        </is>
      </c>
      <c r="KZ1" s="1" t="inlineStr">
        <is>
          <t>青岛||美国东岸(邮编0.1.2.3.4开头)</t>
        </is>
      </c>
      <c r="LA1" s="1" t="inlineStr">
        <is>
          <t>青岛||美国中部(邮编5.6.7开头)</t>
        </is>
      </c>
      <c r="LB1" s="1" t="inlineStr">
        <is>
          <t>青岛||美国西岸北（邮编97.98.99开头）</t>
        </is>
      </c>
    </row>
    <row r="2">
      <c r="A2" s="1" t="inlineStr">
        <is>
          <t>义乌</t>
        </is>
      </c>
      <c r="B2" s="1" t="inlineStr">
        <is>
          <t>ABE3</t>
        </is>
      </c>
      <c r="C2" s="1" t="inlineStr">
        <is>
          <t>ABE3</t>
        </is>
      </c>
      <c r="E2" s="1" t="n">
        <v>4</v>
      </c>
      <c r="F2" s="1" t="inlineStr">
        <is>
          <t>义乌</t>
        </is>
      </c>
      <c r="G2" s="1" t="inlineStr">
        <is>
          <t>ABE3</t>
        </is>
      </c>
      <c r="H2" s="134" t="n">
        <v>9.48</v>
      </c>
      <c r="I2" s="1" t="inlineStr">
        <is>
          <t>Y-A4NY</t>
        </is>
      </c>
      <c r="J2" s="134" t="n">
        <v>0</v>
      </c>
      <c r="K2" s="1" t="n"/>
      <c r="L2" s="1" t="inlineStr">
        <is>
          <t>（最低价）</t>
        </is>
      </c>
      <c r="M2" s="1" t="inlineStr">
        <is>
          <t>（最低价）</t>
        </is>
      </c>
      <c r="N2" s="1" t="n"/>
      <c r="O2" s="1" t="n"/>
      <c r="P2" s="1" t="n"/>
      <c r="Q2" s="1" t="n"/>
      <c r="R2" s="1" t="n"/>
      <c r="S2" s="1" t="n"/>
      <c r="T2" s="1" t="n">
        <v>4</v>
      </c>
      <c r="U2" s="1" t="n">
        <v>6</v>
      </c>
      <c r="V2" s="1" t="n">
        <v>4</v>
      </c>
      <c r="W2" s="1" t="n">
        <v>12</v>
      </c>
      <c r="X2" s="1" t="n">
        <v>2</v>
      </c>
      <c r="Y2" s="1" t="n">
        <v>6</v>
      </c>
      <c r="Z2" s="1" t="n">
        <v>6</v>
      </c>
      <c r="AA2" s="1" t="n">
        <v>6</v>
      </c>
      <c r="AB2" s="1" t="n">
        <v>1</v>
      </c>
      <c r="AC2" s="1" t="n">
        <v>4</v>
      </c>
      <c r="AD2" s="1" t="n">
        <v>3</v>
      </c>
      <c r="AE2" s="1" t="n">
        <v>2</v>
      </c>
      <c r="AF2" s="1" t="n">
        <v>2</v>
      </c>
      <c r="AG2" s="1" t="n">
        <v>1</v>
      </c>
      <c r="AH2" s="1" t="n">
        <v>1</v>
      </c>
      <c r="AI2" s="1" t="n">
        <v>3</v>
      </c>
      <c r="AJ2" s="1" t="n">
        <v>3</v>
      </c>
      <c r="AK2" s="1" t="n">
        <v>6</v>
      </c>
      <c r="AL2" s="1" t="n">
        <v>1</v>
      </c>
      <c r="AM2" s="1" t="n">
        <v>1</v>
      </c>
      <c r="AN2" s="1" t="n">
        <v>1</v>
      </c>
      <c r="AO2" s="1" t="n">
        <v>7</v>
      </c>
      <c r="AP2" s="1" t="n">
        <v>4</v>
      </c>
      <c r="AQ2" s="1" t="n">
        <v>6</v>
      </c>
      <c r="AR2" s="1" t="n">
        <v>6</v>
      </c>
      <c r="AS2" s="1" t="n">
        <v>6</v>
      </c>
      <c r="AT2" s="1" t="n">
        <v>6</v>
      </c>
      <c r="AU2" s="1" t="n">
        <v>6</v>
      </c>
      <c r="AV2" s="1" t="n">
        <v>4</v>
      </c>
      <c r="AW2" s="1" t="n">
        <v>4</v>
      </c>
      <c r="AX2" s="1" t="n">
        <v>4</v>
      </c>
      <c r="AY2" s="1" t="n">
        <v>4</v>
      </c>
      <c r="AZ2" s="1" t="n">
        <v>6</v>
      </c>
      <c r="BA2" s="1" t="n">
        <v>1</v>
      </c>
      <c r="BB2" s="1" t="n">
        <v>1</v>
      </c>
      <c r="BC2" s="1" t="n">
        <v>1</v>
      </c>
      <c r="BD2" s="1" t="n">
        <v>1</v>
      </c>
      <c r="BE2" s="1" t="n">
        <v>1</v>
      </c>
      <c r="BF2" s="1" t="n">
        <v>6</v>
      </c>
      <c r="BG2" s="1" t="n">
        <v>6</v>
      </c>
      <c r="BH2" s="1" t="n">
        <v>1</v>
      </c>
      <c r="BI2" s="1" t="n">
        <v>1</v>
      </c>
      <c r="BJ2" s="1" t="n">
        <v>1</v>
      </c>
      <c r="BK2" s="1" t="n">
        <v>2</v>
      </c>
      <c r="BL2" s="1" t="n">
        <v>2</v>
      </c>
      <c r="BM2" s="1" t="n">
        <v>4</v>
      </c>
      <c r="BN2" s="1" t="n">
        <v>1</v>
      </c>
      <c r="BO2" s="1" t="n">
        <v>1</v>
      </c>
      <c r="BP2" s="1" t="n">
        <v>2</v>
      </c>
      <c r="BQ2" s="1" t="n">
        <v>2</v>
      </c>
      <c r="BR2" s="1" t="n">
        <v>2</v>
      </c>
      <c r="BS2" s="1" t="n">
        <v>8</v>
      </c>
      <c r="BT2" s="1" t="n">
        <v>4</v>
      </c>
      <c r="BU2" s="1" t="n">
        <v>1</v>
      </c>
      <c r="BV2" s="1" t="n">
        <v>2</v>
      </c>
      <c r="BW2" s="1" t="n">
        <v>6</v>
      </c>
      <c r="BX2" s="1" t="n">
        <v>6</v>
      </c>
      <c r="BY2" s="1" t="n">
        <v>4</v>
      </c>
      <c r="BZ2" s="1" t="n">
        <v>1</v>
      </c>
      <c r="CA2" s="1" t="n">
        <v>1</v>
      </c>
      <c r="CB2" s="1" t="n">
        <v>1</v>
      </c>
      <c r="CC2" s="1" t="n">
        <v>1</v>
      </c>
      <c r="CD2" s="1" t="n">
        <v>1</v>
      </c>
      <c r="CE2" s="1" t="n">
        <v>2</v>
      </c>
      <c r="CF2" s="1" t="n">
        <v>2</v>
      </c>
      <c r="CG2" s="1" t="n">
        <v>6</v>
      </c>
      <c r="CH2" s="1" t="n">
        <v>3</v>
      </c>
      <c r="CI2" s="1" t="n">
        <v>7</v>
      </c>
      <c r="CJ2" s="1" t="n">
        <v>4</v>
      </c>
      <c r="CK2" s="1" t="n">
        <v>1</v>
      </c>
      <c r="CL2" s="1" t="n">
        <v>3</v>
      </c>
      <c r="CM2" s="1" t="n">
        <v>3</v>
      </c>
      <c r="CN2" s="1" t="n">
        <v>6</v>
      </c>
      <c r="CO2" s="1" t="n">
        <v>1</v>
      </c>
      <c r="CP2" s="1" t="n">
        <v>4</v>
      </c>
      <c r="CQ2" s="1" t="n">
        <v>4</v>
      </c>
      <c r="CR2" s="1" t="n">
        <v>1</v>
      </c>
      <c r="CS2" s="1" t="n">
        <v>6</v>
      </c>
      <c r="CT2" s="1" t="n">
        <v>4</v>
      </c>
      <c r="CU2" s="1" t="n">
        <v>4</v>
      </c>
      <c r="CV2" s="1" t="n">
        <v>8</v>
      </c>
      <c r="CW2" s="1" t="n">
        <v>2</v>
      </c>
      <c r="CX2" s="1" t="n">
        <v>7</v>
      </c>
      <c r="CY2" s="1" t="n">
        <v>1</v>
      </c>
      <c r="CZ2" s="1" t="n">
        <v>4</v>
      </c>
      <c r="DA2" s="1" t="n">
        <v>6</v>
      </c>
      <c r="DB2" s="1" t="n">
        <v>6</v>
      </c>
      <c r="DC2" s="1" t="n">
        <v>2</v>
      </c>
      <c r="DD2" s="1" t="n">
        <v>7</v>
      </c>
      <c r="DE2" s="1" t="n">
        <v>2</v>
      </c>
      <c r="DF2" s="1" t="n">
        <v>2</v>
      </c>
      <c r="DG2" s="1" t="n">
        <v>1</v>
      </c>
      <c r="DH2" s="1" t="n">
        <v>6</v>
      </c>
      <c r="DI2" s="1" t="n">
        <v>2</v>
      </c>
      <c r="DJ2" s="1" t="n">
        <v>8</v>
      </c>
      <c r="DK2" s="1" t="n">
        <v>2</v>
      </c>
      <c r="DL2" s="1" t="n">
        <v>3</v>
      </c>
      <c r="DM2" s="1" t="n">
        <v>3</v>
      </c>
      <c r="DN2" s="1" t="n">
        <v>3</v>
      </c>
      <c r="DO2" s="1" t="n">
        <v>4</v>
      </c>
      <c r="DP2" s="1" t="n">
        <v>5</v>
      </c>
      <c r="DQ2" s="1" t="n">
        <v>5</v>
      </c>
      <c r="DR2" s="1" t="n">
        <v>6</v>
      </c>
      <c r="DS2" s="1" t="n">
        <v>4</v>
      </c>
      <c r="DT2" s="1" t="n">
        <v>6</v>
      </c>
      <c r="DU2" s="1" t="n">
        <v>10</v>
      </c>
      <c r="DV2" s="1" t="n">
        <v>5</v>
      </c>
      <c r="DW2" s="1" t="n">
        <v>2</v>
      </c>
      <c r="DX2" s="1" t="n">
        <v>8</v>
      </c>
      <c r="DY2" s="1" t="n">
        <v>6</v>
      </c>
      <c r="DZ2" s="1" t="n">
        <v>1</v>
      </c>
      <c r="EA2" s="1" t="n">
        <v>1</v>
      </c>
      <c r="EB2" s="1" t="n">
        <v>1</v>
      </c>
      <c r="EC2" s="1" t="n">
        <v>7</v>
      </c>
      <c r="ED2" s="1" t="n">
        <v>3</v>
      </c>
      <c r="EE2" s="1" t="n">
        <v>4</v>
      </c>
      <c r="EF2" s="1" t="n">
        <v>1</v>
      </c>
      <c r="EG2" s="1" t="n">
        <v>7</v>
      </c>
      <c r="EH2" s="1" t="n">
        <v>7</v>
      </c>
      <c r="EI2" s="1" t="n">
        <v>3</v>
      </c>
      <c r="EJ2" s="1" t="n">
        <v>1</v>
      </c>
      <c r="EK2" s="1" t="n">
        <v>8</v>
      </c>
      <c r="EL2" s="1" t="n">
        <v>4</v>
      </c>
      <c r="EM2" s="1" t="n">
        <v>1</v>
      </c>
      <c r="EN2" s="1" t="n">
        <v>3</v>
      </c>
      <c r="EO2" s="1" t="n">
        <v>2</v>
      </c>
      <c r="EP2" s="1" t="n">
        <v>2</v>
      </c>
      <c r="EQ2" s="1" t="n">
        <v>4</v>
      </c>
      <c r="ER2" s="1" t="n">
        <v>8</v>
      </c>
      <c r="ES2" s="1" t="n">
        <v>6</v>
      </c>
      <c r="ET2" s="1" t="n">
        <v>6</v>
      </c>
      <c r="EU2" s="1" t="n">
        <v>4</v>
      </c>
      <c r="EV2" s="1" t="n">
        <v>4</v>
      </c>
      <c r="EW2" s="1" t="n">
        <v>4</v>
      </c>
      <c r="EX2" s="1" t="n">
        <v>10</v>
      </c>
      <c r="EY2" s="1" t="n">
        <v>2</v>
      </c>
      <c r="EZ2" s="1" t="n">
        <v>6</v>
      </c>
      <c r="FA2" s="1" t="n">
        <v>6</v>
      </c>
      <c r="FB2" s="1" t="n">
        <v>4</v>
      </c>
      <c r="FC2" s="1" t="n">
        <v>5</v>
      </c>
      <c r="FD2" s="1" t="n">
        <v>1</v>
      </c>
      <c r="FE2" s="1" t="n">
        <v>4</v>
      </c>
      <c r="FF2" s="1" t="n">
        <v>4</v>
      </c>
      <c r="FG2" s="1" t="n">
        <v>6</v>
      </c>
      <c r="FH2" s="1" t="n">
        <v>2</v>
      </c>
      <c r="FI2" s="1" t="n">
        <v>2</v>
      </c>
      <c r="FJ2" s="1" t="n">
        <v>2</v>
      </c>
      <c r="FK2" s="1" t="n">
        <v>2</v>
      </c>
      <c r="FL2" s="1" t="n">
        <v>4</v>
      </c>
      <c r="FM2" s="1" t="n">
        <v>7</v>
      </c>
      <c r="FN2" s="1" t="n">
        <v>4</v>
      </c>
      <c r="FO2" s="1" t="n">
        <v>4</v>
      </c>
      <c r="FP2" s="1" t="n">
        <v>6</v>
      </c>
      <c r="FQ2" s="1" t="n">
        <v>6</v>
      </c>
      <c r="FR2" s="1" t="n">
        <v>7</v>
      </c>
      <c r="FS2" s="1" t="n">
        <v>7</v>
      </c>
      <c r="FT2" s="1" t="n">
        <v>7</v>
      </c>
      <c r="FU2" s="1" t="n">
        <v>7</v>
      </c>
      <c r="FV2" s="1" t="n">
        <v>7</v>
      </c>
      <c r="FW2" s="1" t="n">
        <v>6</v>
      </c>
      <c r="FX2" s="1" t="n">
        <v>6</v>
      </c>
      <c r="FY2" s="1" t="n">
        <v>6</v>
      </c>
      <c r="FZ2" s="1" t="n">
        <v>6</v>
      </c>
      <c r="GA2" s="1" t="n">
        <v>7</v>
      </c>
      <c r="GB2" s="1" t="n">
        <v>6</v>
      </c>
      <c r="GC2" s="1" t="n">
        <v>6</v>
      </c>
      <c r="GD2" s="1" t="n">
        <v>6</v>
      </c>
      <c r="GE2" s="1" t="n">
        <v>6</v>
      </c>
      <c r="GF2" s="1" t="n">
        <v>7</v>
      </c>
      <c r="GG2" s="1" t="n">
        <v>7</v>
      </c>
      <c r="GH2" s="1" t="n">
        <v>7</v>
      </c>
      <c r="GI2" s="1" t="n">
        <v>7</v>
      </c>
      <c r="GJ2" s="1" t="n">
        <v>7</v>
      </c>
      <c r="GK2" s="1" t="n">
        <v>7</v>
      </c>
      <c r="GL2" s="1" t="n">
        <v>5</v>
      </c>
      <c r="GM2" s="1" t="n">
        <v>4</v>
      </c>
      <c r="GN2" s="1" t="n">
        <v>4</v>
      </c>
      <c r="GO2" s="1" t="n">
        <v>4</v>
      </c>
      <c r="GP2" s="1" t="n">
        <v>4</v>
      </c>
      <c r="GQ2" s="1" t="n">
        <v>1</v>
      </c>
      <c r="GR2" s="1" t="n">
        <v>1</v>
      </c>
      <c r="GS2" s="1" t="n">
        <v>2</v>
      </c>
      <c r="GT2" s="1" t="n">
        <v>1</v>
      </c>
      <c r="GU2" s="1" t="n">
        <v>1</v>
      </c>
      <c r="GV2" s="1" t="n">
        <v>1</v>
      </c>
      <c r="GW2" s="1" t="n">
        <v>1</v>
      </c>
      <c r="GX2" s="1" t="n">
        <v>2</v>
      </c>
      <c r="GY2" s="1" t="n">
        <v>1</v>
      </c>
      <c r="GZ2" s="1" t="n">
        <v>1</v>
      </c>
      <c r="HA2" s="1" t="n">
        <v>1</v>
      </c>
      <c r="HB2" s="1" t="n">
        <v>1</v>
      </c>
      <c r="HC2" s="1" t="n">
        <v>1</v>
      </c>
      <c r="HD2" s="1" t="n">
        <v>1</v>
      </c>
      <c r="HE2" s="1" t="n">
        <v>1</v>
      </c>
      <c r="HF2" s="1" t="n">
        <v>1</v>
      </c>
      <c r="HG2" s="1" t="n">
        <v>1</v>
      </c>
      <c r="HH2" s="1" t="n">
        <v>2</v>
      </c>
      <c r="HI2" s="1" t="n">
        <v>1</v>
      </c>
      <c r="HJ2" s="1" t="n">
        <v>1</v>
      </c>
      <c r="HK2" s="1" t="n">
        <v>1</v>
      </c>
      <c r="HL2" s="1" t="n">
        <v>1</v>
      </c>
      <c r="HM2" s="1" t="n">
        <v>1</v>
      </c>
      <c r="HN2" s="1" t="n">
        <v>1</v>
      </c>
      <c r="HO2" s="1" t="n">
        <v>1</v>
      </c>
      <c r="HP2" s="1" t="n">
        <v>1</v>
      </c>
      <c r="HQ2" s="1" t="n">
        <v>1</v>
      </c>
      <c r="HR2" s="1" t="n">
        <v>1</v>
      </c>
      <c r="HS2" s="1" t="n">
        <v>1</v>
      </c>
      <c r="HT2" s="1" t="n">
        <v>1</v>
      </c>
      <c r="HU2" s="1" t="n">
        <v>1</v>
      </c>
      <c r="HV2" s="1" t="n">
        <v>1</v>
      </c>
      <c r="HW2" s="1" t="n">
        <v>1</v>
      </c>
      <c r="HX2" s="1" t="n">
        <v>1</v>
      </c>
      <c r="HY2" s="1" t="n">
        <v>1</v>
      </c>
      <c r="HZ2" s="1" t="n">
        <v>1</v>
      </c>
      <c r="IA2" s="1" t="n">
        <v>1</v>
      </c>
      <c r="IB2" s="1" t="n">
        <v>1</v>
      </c>
      <c r="IC2" s="1" t="n">
        <v>1</v>
      </c>
      <c r="ID2" s="1" t="n">
        <v>1</v>
      </c>
      <c r="IE2" s="1" t="n">
        <v>1</v>
      </c>
      <c r="IF2" s="1" t="n">
        <v>1</v>
      </c>
      <c r="IG2" s="1" t="n">
        <v>1</v>
      </c>
      <c r="IH2" s="1" t="n">
        <v>1</v>
      </c>
      <c r="II2" s="1" t="n">
        <v>1</v>
      </c>
      <c r="IJ2" s="1" t="n">
        <v>1</v>
      </c>
      <c r="IK2" s="1" t="n">
        <v>1</v>
      </c>
      <c r="IL2" s="1" t="n">
        <v>1</v>
      </c>
      <c r="IM2" s="1" t="n">
        <v>1</v>
      </c>
      <c r="IN2" s="1" t="n">
        <v>1</v>
      </c>
      <c r="IO2" s="1" t="n">
        <v>1</v>
      </c>
      <c r="IP2" s="1" t="n">
        <v>1</v>
      </c>
      <c r="IQ2" s="1" t="n">
        <v>1</v>
      </c>
      <c r="IR2" s="1" t="n">
        <v>1</v>
      </c>
      <c r="IS2" s="1" t="n">
        <v>1</v>
      </c>
      <c r="IT2" s="1" t="n">
        <v>1</v>
      </c>
      <c r="IU2" s="1" t="n">
        <v>1</v>
      </c>
      <c r="IV2" s="1" t="n">
        <v>1</v>
      </c>
      <c r="IW2" s="1" t="n">
        <v>1</v>
      </c>
      <c r="IX2" s="1" t="n">
        <v>1</v>
      </c>
      <c r="IY2" s="1" t="n">
        <v>1</v>
      </c>
      <c r="IZ2" s="1" t="n">
        <v>1</v>
      </c>
      <c r="JA2" s="1" t="n">
        <v>1</v>
      </c>
      <c r="JB2" s="1" t="n">
        <v>1</v>
      </c>
      <c r="JC2" s="1" t="n">
        <v>1</v>
      </c>
      <c r="JD2" s="1" t="n">
        <v>1</v>
      </c>
      <c r="JE2" s="1" t="n">
        <v>1</v>
      </c>
      <c r="JF2" s="1" t="n">
        <v>1</v>
      </c>
      <c r="JG2" s="1" t="n">
        <v>1</v>
      </c>
      <c r="JH2" s="1" t="n">
        <v>1</v>
      </c>
      <c r="JI2" s="1" t="n">
        <v>1</v>
      </c>
      <c r="JJ2" s="1" t="n">
        <v>2</v>
      </c>
      <c r="JK2" s="1" t="n">
        <v>1</v>
      </c>
      <c r="JL2" s="1" t="n">
        <v>1</v>
      </c>
      <c r="JM2" s="1" t="n">
        <v>1</v>
      </c>
      <c r="JN2" s="1" t="n">
        <v>1</v>
      </c>
      <c r="JO2" s="1" t="n">
        <v>1</v>
      </c>
      <c r="JP2" s="1" t="n">
        <v>1</v>
      </c>
      <c r="JQ2" s="1" t="n">
        <v>1</v>
      </c>
      <c r="JR2" s="1" t="n">
        <v>1</v>
      </c>
      <c r="JS2" s="1" t="n">
        <v>1</v>
      </c>
      <c r="JT2" s="1" t="n">
        <v>2</v>
      </c>
      <c r="JU2" s="1" t="n">
        <v>1</v>
      </c>
      <c r="JV2" s="1" t="n">
        <v>2</v>
      </c>
      <c r="JW2" s="1" t="n">
        <v>1</v>
      </c>
      <c r="JX2" s="1" t="n">
        <v>1</v>
      </c>
      <c r="JY2" s="1" t="n">
        <v>1</v>
      </c>
      <c r="JZ2" s="1" t="n">
        <v>1</v>
      </c>
      <c r="KA2" s="1" t="n">
        <v>1</v>
      </c>
      <c r="KB2" s="1" t="n">
        <v>1</v>
      </c>
      <c r="KC2" s="1" t="n">
        <v>1</v>
      </c>
      <c r="KD2" s="1" t="n">
        <v>1</v>
      </c>
      <c r="KE2" s="1" t="n">
        <v>1</v>
      </c>
      <c r="KF2" s="1" t="n">
        <v>1</v>
      </c>
      <c r="KG2" s="1" t="n">
        <v>1</v>
      </c>
      <c r="KH2" s="1" t="n">
        <v>2</v>
      </c>
      <c r="KI2" s="1" t="n">
        <v>1</v>
      </c>
      <c r="KJ2" s="1" t="n">
        <v>1</v>
      </c>
      <c r="KK2" s="1" t="n">
        <v>1</v>
      </c>
      <c r="KL2" s="1" t="n">
        <v>1</v>
      </c>
      <c r="KM2" s="1" t="n">
        <v>1</v>
      </c>
      <c r="KN2" s="1" t="n">
        <v>2</v>
      </c>
      <c r="KO2" s="1" t="n">
        <v>1</v>
      </c>
      <c r="KP2" s="1" t="n">
        <v>1</v>
      </c>
      <c r="KQ2" s="1" t="n">
        <v>1</v>
      </c>
      <c r="KR2" s="1" t="n">
        <v>1</v>
      </c>
      <c r="KS2" s="1" t="n">
        <v>1</v>
      </c>
      <c r="KT2" s="1" t="n">
        <v>1</v>
      </c>
      <c r="KU2" s="1" t="n">
        <v>1</v>
      </c>
      <c r="KV2" s="1" t="n">
        <v>1</v>
      </c>
      <c r="KW2" s="1" t="n">
        <v>1</v>
      </c>
      <c r="KX2" s="1" t="n">
        <v>1</v>
      </c>
      <c r="KY2" s="1" t="n">
        <v>1</v>
      </c>
      <c r="KZ2" s="1" t="n">
        <v>1</v>
      </c>
      <c r="LA2" s="1" t="n">
        <v>1</v>
      </c>
      <c r="LB2" s="1" t="n">
        <v>1</v>
      </c>
    </row>
    <row r="3">
      <c r="A3" s="1" t="inlineStr">
        <is>
          <t>青岛</t>
        </is>
      </c>
      <c r="B3" s="1" t="inlineStr">
        <is>
          <t>ABE4</t>
        </is>
      </c>
      <c r="C3" s="1" t="inlineStr">
        <is>
          <t>ABE4</t>
        </is>
      </c>
      <c r="E3" s="1" t="inlineStr">
        <is>
          <t>Y-A4NY</t>
        </is>
      </c>
      <c r="F3" s="1" t="inlineStr">
        <is>
          <t>义乌</t>
        </is>
      </c>
      <c r="G3" s="1" t="inlineStr">
        <is>
          <t>ABE4</t>
        </is>
      </c>
      <c r="H3" s="134" t="n">
        <v>9.48</v>
      </c>
      <c r="I3" s="1" t="inlineStr">
        <is>
          <t>Y-A4NY</t>
        </is>
      </c>
      <c r="J3" s="134" t="n">
        <v>0</v>
      </c>
      <c r="K3" s="1" t="n"/>
      <c r="L3" s="1" t="inlineStr">
        <is>
          <t>Y-718专线</t>
        </is>
      </c>
      <c r="M3" s="1" t="inlineStr">
        <is>
          <t>718海派</t>
        </is>
      </c>
      <c r="N3" s="1" t="n"/>
      <c r="O3" s="1" t="n"/>
      <c r="P3" s="1" t="n"/>
      <c r="Q3" s="1" t="n"/>
      <c r="R3" s="1" t="n"/>
      <c r="S3" s="1" t="n"/>
      <c r="T3" s="1" t="inlineStr">
        <is>
          <t>Y-A4NY</t>
        </is>
      </c>
      <c r="U3" s="1" t="inlineStr">
        <is>
          <t>Y-A4NY</t>
        </is>
      </c>
      <c r="V3" s="1" t="inlineStr">
        <is>
          <t>Y-A4NY</t>
        </is>
      </c>
      <c r="W3" s="1" t="inlineStr">
        <is>
          <t>Y-718专线</t>
        </is>
      </c>
      <c r="X3" s="1" t="inlineStr">
        <is>
          <t>Y-A4SAV</t>
        </is>
      </c>
      <c r="Y3" s="1" t="inlineStr">
        <is>
          <t>Y-A4NY</t>
        </is>
      </c>
      <c r="Z3" s="1" t="inlineStr">
        <is>
          <t>Y-A4NY</t>
        </is>
      </c>
      <c r="AA3" s="1" t="inlineStr">
        <is>
          <t>Y-A4NY</t>
        </is>
      </c>
      <c r="AB3" s="1" t="inlineStr">
        <is>
          <t>Y-K13美中专线</t>
        </is>
      </c>
      <c r="AC3" s="1" t="inlineStr">
        <is>
          <t>Y-A4NY</t>
        </is>
      </c>
      <c r="AD3" s="1" t="inlineStr">
        <is>
          <t>Y-718专线</t>
        </is>
      </c>
      <c r="AE3" s="1" t="inlineStr">
        <is>
          <t>Y-K14芝加哥专线</t>
        </is>
      </c>
      <c r="AF3" s="1" t="inlineStr">
        <is>
          <t>Y-K14芝加哥专线</t>
        </is>
      </c>
      <c r="AG3" s="1" t="inlineStr">
        <is>
          <t>Y-K13美中专线</t>
        </is>
      </c>
      <c r="AH3" s="1" t="inlineStr">
        <is>
          <t>Y-K13美中专线</t>
        </is>
      </c>
      <c r="AI3" s="1" t="inlineStr">
        <is>
          <t>Y-718专线</t>
        </is>
      </c>
      <c r="AJ3" s="1" t="inlineStr">
        <is>
          <t>Y-K13美中专线</t>
        </is>
      </c>
      <c r="AK3" s="1" t="inlineStr">
        <is>
          <t>Y-718专线</t>
        </is>
      </c>
      <c r="AL3" s="1" t="inlineStr">
        <is>
          <t>Y-K13美中专线</t>
        </is>
      </c>
      <c r="AM3" s="1" t="inlineStr">
        <is>
          <t>Y-K13美中专线</t>
        </is>
      </c>
      <c r="AN3" s="1" t="inlineStr">
        <is>
          <t>Y-K13美中专线</t>
        </is>
      </c>
      <c r="AO3" s="1" t="inlineStr">
        <is>
          <t>Y-718专线</t>
        </is>
      </c>
      <c r="AP3" s="1" t="inlineStr">
        <is>
          <t>Y-718专线</t>
        </is>
      </c>
      <c r="AQ3" s="1" t="inlineStr">
        <is>
          <t>Y-718专线</t>
        </is>
      </c>
      <c r="AR3" s="1" t="inlineStr">
        <is>
          <t>Y-718专线</t>
        </is>
      </c>
      <c r="AS3" s="1" t="inlineStr">
        <is>
          <t>Y-A4NY</t>
        </is>
      </c>
      <c r="AT3" s="1" t="inlineStr">
        <is>
          <t>Y-718专线</t>
        </is>
      </c>
      <c r="AU3" s="1" t="inlineStr">
        <is>
          <t>Y-718专线</t>
        </is>
      </c>
      <c r="AV3" s="1" t="inlineStr">
        <is>
          <t>Y-A4NY</t>
        </is>
      </c>
      <c r="AW3" s="1" t="inlineStr">
        <is>
          <t>Y-A4NY</t>
        </is>
      </c>
      <c r="AX3" s="1" t="inlineStr">
        <is>
          <t>Y-A4NY</t>
        </is>
      </c>
      <c r="AY3" s="1" t="inlineStr">
        <is>
          <t>Y-A4NY</t>
        </is>
      </c>
      <c r="AZ3" s="1" t="inlineStr">
        <is>
          <t>Y-718专线</t>
        </is>
      </c>
      <c r="BA3" s="1" t="inlineStr">
        <is>
          <t>Y-K13美中专线</t>
        </is>
      </c>
      <c r="BB3" s="1" t="inlineStr">
        <is>
          <t>Y-K13美中专线</t>
        </is>
      </c>
      <c r="BC3" s="1" t="inlineStr">
        <is>
          <t>Y-K13美中专线</t>
        </is>
      </c>
      <c r="BD3" s="1" t="inlineStr">
        <is>
          <t>Y-K13美中专线</t>
        </is>
      </c>
      <c r="BE3" s="1" t="inlineStr">
        <is>
          <t>Y-K13美中专线</t>
        </is>
      </c>
      <c r="BF3" s="1" t="inlineStr">
        <is>
          <t>Y-A4NY</t>
        </is>
      </c>
      <c r="BG3" s="1" t="inlineStr">
        <is>
          <t>Y-718专线</t>
        </is>
      </c>
      <c r="BH3" s="1" t="inlineStr">
        <is>
          <t>Y-718专线</t>
        </is>
      </c>
      <c r="BI3" s="1" t="inlineStr">
        <is>
          <t>Y-奥克兰快船</t>
        </is>
      </c>
      <c r="BJ3" s="1" t="inlineStr">
        <is>
          <t>Y-K13美中专线</t>
        </is>
      </c>
      <c r="BK3" s="1" t="inlineStr">
        <is>
          <t>Y-A4SAV</t>
        </is>
      </c>
      <c r="BL3" s="1" t="inlineStr">
        <is>
          <t>Y-K14芝加哥专线</t>
        </is>
      </c>
      <c r="BM3" s="1" t="inlineStr">
        <is>
          <t>Y-A4NY</t>
        </is>
      </c>
      <c r="BN3" s="1" t="inlineStr">
        <is>
          <t>Y-K14芝加哥专线</t>
        </is>
      </c>
      <c r="BO3" s="1" t="inlineStr">
        <is>
          <t>Y-K14芝加哥专线</t>
        </is>
      </c>
      <c r="BP3" s="1" t="inlineStr">
        <is>
          <t>Y-A4SAV</t>
        </is>
      </c>
      <c r="BQ3" s="1" t="inlineStr">
        <is>
          <t>Y-A4SAV</t>
        </is>
      </c>
      <c r="BR3" s="1" t="inlineStr">
        <is>
          <t>Y-K14芝加哥专线</t>
        </is>
      </c>
      <c r="BS3" s="1" t="inlineStr">
        <is>
          <t>Y-718专线</t>
        </is>
      </c>
      <c r="BT3" s="1" t="inlineStr">
        <is>
          <t>Y-A4NY</t>
        </is>
      </c>
      <c r="BU3" s="1" t="inlineStr">
        <is>
          <t>Y-718专线</t>
        </is>
      </c>
      <c r="BV3" s="1" t="inlineStr">
        <is>
          <t>Y-718专线</t>
        </is>
      </c>
      <c r="BW3" s="1" t="inlineStr">
        <is>
          <t>Y-718专线</t>
        </is>
      </c>
      <c r="BX3" s="1" t="inlineStr">
        <is>
          <t>Y-A4NY</t>
        </is>
      </c>
      <c r="BY3" s="1" t="inlineStr">
        <is>
          <t>Y-A4NY</t>
        </is>
      </c>
      <c r="BZ3" s="1" t="inlineStr">
        <is>
          <t>Y-718专线</t>
        </is>
      </c>
      <c r="CA3" s="1" t="inlineStr">
        <is>
          <t>Y-K13美中专线</t>
        </is>
      </c>
      <c r="CB3" s="1" t="inlineStr">
        <is>
          <t>Y-718专线</t>
        </is>
      </c>
      <c r="CC3" s="1" t="inlineStr">
        <is>
          <t>Y-718专线</t>
        </is>
      </c>
      <c r="CD3" s="1" t="inlineStr">
        <is>
          <t>Y-奥克兰快船</t>
        </is>
      </c>
      <c r="CE3" s="1" t="inlineStr">
        <is>
          <t>Y-A4SAV</t>
        </is>
      </c>
      <c r="CF3" s="1" t="inlineStr">
        <is>
          <t>Y-K14芝加哥专线</t>
        </is>
      </c>
      <c r="CG3" s="1" t="inlineStr">
        <is>
          <t>Y-718专线</t>
        </is>
      </c>
      <c r="CH3" s="1" t="inlineStr">
        <is>
          <t>Y-718专线</t>
        </is>
      </c>
      <c r="CI3" s="1" t="inlineStr">
        <is>
          <t>Y-718专线</t>
        </is>
      </c>
      <c r="CJ3" s="1" t="inlineStr">
        <is>
          <t>Y-A4NY</t>
        </is>
      </c>
      <c r="CK3" s="1" t="inlineStr">
        <is>
          <t>Y-K13美中专线</t>
        </is>
      </c>
      <c r="CL3" s="1" t="inlineStr">
        <is>
          <t>Y-718专线</t>
        </is>
      </c>
      <c r="CM3" s="1" t="inlineStr">
        <is>
          <t>Y-718专线</t>
        </is>
      </c>
      <c r="CN3" s="1" t="inlineStr">
        <is>
          <t>Y-718专线</t>
        </is>
      </c>
      <c r="CO3" s="1" t="inlineStr">
        <is>
          <t>Y-K13美中专线</t>
        </is>
      </c>
      <c r="CP3" s="1" t="inlineStr">
        <is>
          <t>Y-718专线</t>
        </is>
      </c>
      <c r="CQ3" s="1" t="inlineStr">
        <is>
          <t>Y-718专线</t>
        </is>
      </c>
      <c r="CR3" s="1" t="inlineStr">
        <is>
          <t>Y-K14芝加哥专线</t>
        </is>
      </c>
      <c r="CS3" s="1" t="inlineStr">
        <is>
          <t>Y-A4NY</t>
        </is>
      </c>
      <c r="CT3" s="1" t="inlineStr">
        <is>
          <t>Y-A4NY</t>
        </is>
      </c>
      <c r="CU3" s="1" t="inlineStr">
        <is>
          <t>Y-A4NY</t>
        </is>
      </c>
      <c r="CV3" s="1" t="inlineStr">
        <is>
          <t>Y-718专线</t>
        </is>
      </c>
      <c r="CW3" s="1" t="inlineStr">
        <is>
          <t>Y-K14芝加哥专线</t>
        </is>
      </c>
      <c r="CX3" s="1" t="inlineStr">
        <is>
          <t>Y-718专线</t>
        </is>
      </c>
      <c r="CY3" s="1" t="inlineStr">
        <is>
          <t>Y-K13美中专线</t>
        </is>
      </c>
      <c r="CZ3" s="1" t="inlineStr">
        <is>
          <t>Y-A4NY</t>
        </is>
      </c>
      <c r="DA3" s="1" t="inlineStr">
        <is>
          <t>Y-A4NY</t>
        </is>
      </c>
      <c r="DB3" s="1" t="inlineStr">
        <is>
          <t>Y-718专线</t>
        </is>
      </c>
      <c r="DC3" s="1" t="inlineStr">
        <is>
          <t>Y-K14芝加哥专线</t>
        </is>
      </c>
      <c r="DD3" s="1" t="inlineStr">
        <is>
          <t>Y-718专线</t>
        </is>
      </c>
      <c r="DE3" s="1" t="inlineStr">
        <is>
          <t>Y-A4SAV</t>
        </is>
      </c>
      <c r="DF3" s="1" t="inlineStr">
        <is>
          <t>Y-718专线</t>
        </is>
      </c>
      <c r="DG3" s="1" t="inlineStr">
        <is>
          <t>Y-K13美中专线</t>
        </is>
      </c>
      <c r="DH3" s="1" t="inlineStr">
        <is>
          <t>Y-718专线</t>
        </is>
      </c>
      <c r="DI3" s="1" t="inlineStr">
        <is>
          <t>Y-K14芝加哥专线</t>
        </is>
      </c>
      <c r="DJ3" s="1" t="inlineStr">
        <is>
          <t>Y-718专线</t>
        </is>
      </c>
      <c r="DK3" s="1" t="inlineStr">
        <is>
          <t>Y-A4SAV</t>
        </is>
      </c>
      <c r="DL3" s="1" t="inlineStr">
        <is>
          <t>Y-718专线</t>
        </is>
      </c>
      <c r="DM3" s="1" t="inlineStr">
        <is>
          <t>Y-718专线</t>
        </is>
      </c>
      <c r="DN3" s="1" t="inlineStr">
        <is>
          <t>Y-718专线</t>
        </is>
      </c>
      <c r="DO3" s="1" t="inlineStr">
        <is>
          <t>Y-A4NY</t>
        </is>
      </c>
      <c r="DP3" s="1" t="inlineStr">
        <is>
          <t>Y-718专线</t>
        </is>
      </c>
      <c r="DQ3" s="1" t="inlineStr">
        <is>
          <t>Y-718专线</t>
        </is>
      </c>
      <c r="DR3" s="1" t="inlineStr">
        <is>
          <t>Y-718专线</t>
        </is>
      </c>
      <c r="DS3" s="1" t="inlineStr">
        <is>
          <t>Y-718专线</t>
        </is>
      </c>
      <c r="DT3" s="1" t="inlineStr">
        <is>
          <t>Y-718专线</t>
        </is>
      </c>
      <c r="DU3" s="1" t="inlineStr">
        <is>
          <t>Y-718专线</t>
        </is>
      </c>
      <c r="DV3" s="1" t="inlineStr">
        <is>
          <t>Y-718专线</t>
        </is>
      </c>
      <c r="DW3" s="1" t="inlineStr">
        <is>
          <t>Y-K14芝加哥专线</t>
        </is>
      </c>
      <c r="DX3" s="1" t="inlineStr">
        <is>
          <t>Y-718专线</t>
        </is>
      </c>
      <c r="DY3" s="1" t="inlineStr">
        <is>
          <t>Y-A4NY</t>
        </is>
      </c>
      <c r="DZ3" s="1" t="inlineStr">
        <is>
          <t>Y-K13美中专线</t>
        </is>
      </c>
      <c r="EA3" s="1" t="inlineStr">
        <is>
          <t>Y-K13美中专线</t>
        </is>
      </c>
      <c r="EB3" s="1" t="inlineStr">
        <is>
          <t>Y-K13美中专线</t>
        </is>
      </c>
      <c r="EC3" s="1" t="inlineStr">
        <is>
          <t>Y-718专线</t>
        </is>
      </c>
      <c r="ED3" s="1" t="inlineStr">
        <is>
          <t>Y-718专线</t>
        </is>
      </c>
      <c r="EE3" s="1" t="inlineStr">
        <is>
          <t>Y-718专线</t>
        </is>
      </c>
      <c r="EF3" s="1" t="inlineStr">
        <is>
          <t>Y-奥克兰快船</t>
        </is>
      </c>
      <c r="EG3" s="1" t="inlineStr">
        <is>
          <t>Y-718专线</t>
        </is>
      </c>
      <c r="EH3" s="1" t="inlineStr">
        <is>
          <t>Y-718专线</t>
        </is>
      </c>
      <c r="EI3" s="1" t="inlineStr">
        <is>
          <t>Y-718专线</t>
        </is>
      </c>
      <c r="EJ3" s="1" t="inlineStr">
        <is>
          <t>Y-奥克兰快船</t>
        </is>
      </c>
      <c r="EK3" s="1" t="inlineStr">
        <is>
          <t>Y-718专线</t>
        </is>
      </c>
      <c r="EL3" s="1" t="inlineStr">
        <is>
          <t>Y-718专线</t>
        </is>
      </c>
      <c r="EM3" s="1" t="inlineStr">
        <is>
          <t>Y-奥克兰快船</t>
        </is>
      </c>
      <c r="EN3" s="1" t="inlineStr">
        <is>
          <t>Y-718专线</t>
        </is>
      </c>
      <c r="EO3" s="1" t="inlineStr">
        <is>
          <t>Y-K14芝加哥专线</t>
        </is>
      </c>
      <c r="EP3" s="1" t="inlineStr">
        <is>
          <t>Y-K14芝加哥专线</t>
        </is>
      </c>
      <c r="EQ3" s="1" t="inlineStr">
        <is>
          <t>Y-A4NY</t>
        </is>
      </c>
      <c r="ER3" s="1" t="inlineStr">
        <is>
          <t>Y-718专线</t>
        </is>
      </c>
      <c r="ES3" s="1" t="inlineStr">
        <is>
          <t>Y-718专线</t>
        </is>
      </c>
      <c r="ET3" s="1" t="inlineStr">
        <is>
          <t>Y-718专线</t>
        </is>
      </c>
      <c r="EU3" s="1" t="inlineStr">
        <is>
          <t>Y-A4NY</t>
        </is>
      </c>
      <c r="EV3" s="1" t="inlineStr">
        <is>
          <t>Y-A4NY</t>
        </is>
      </c>
      <c r="EW3" s="1" t="inlineStr">
        <is>
          <t>Y-A4NY</t>
        </is>
      </c>
      <c r="EX3" s="1" t="inlineStr">
        <is>
          <t>Y-718专线</t>
        </is>
      </c>
      <c r="EY3" s="1" t="inlineStr">
        <is>
          <t>Y-K14芝加哥专线</t>
        </is>
      </c>
      <c r="EZ3" s="1" t="inlineStr">
        <is>
          <t>Y-A4NY</t>
        </is>
      </c>
      <c r="FA3" s="1" t="inlineStr">
        <is>
          <t>Y-A4NY</t>
        </is>
      </c>
      <c r="FB3" s="1" t="inlineStr">
        <is>
          <t>Y-A4NY</t>
        </is>
      </c>
      <c r="FC3" s="1" t="inlineStr">
        <is>
          <t>Y-718专线</t>
        </is>
      </c>
      <c r="FD3" s="1" t="inlineStr">
        <is>
          <t>Y-X1-专线(卡尔加里)</t>
        </is>
      </c>
      <c r="FE3" s="1" t="inlineStr">
        <is>
          <t>Y-A4NY</t>
        </is>
      </c>
      <c r="FF3" s="1" t="inlineStr">
        <is>
          <t>Y-A4NY</t>
        </is>
      </c>
      <c r="FG3" s="1" t="inlineStr">
        <is>
          <t>Y-A4NY</t>
        </is>
      </c>
      <c r="FH3" s="1" t="inlineStr">
        <is>
          <t>Y-718专线</t>
        </is>
      </c>
      <c r="FI3" s="1" t="inlineStr">
        <is>
          <t>Y-A4SAV</t>
        </is>
      </c>
      <c r="FJ3" s="1" t="inlineStr">
        <is>
          <t>Y-A4SAV</t>
        </is>
      </c>
      <c r="FK3" s="1" t="inlineStr">
        <is>
          <t>Y-A4NY</t>
        </is>
      </c>
      <c r="FL3" s="1" t="inlineStr">
        <is>
          <t>Y-A4NY</t>
        </is>
      </c>
      <c r="FM3" s="1" t="inlineStr">
        <is>
          <t>Y-X1-专线(多伦多)</t>
        </is>
      </c>
      <c r="FN3" s="1" t="inlineStr">
        <is>
          <t>Y-X1-专线(温尼伯)</t>
        </is>
      </c>
      <c r="FO3" s="1" t="inlineStr">
        <is>
          <t>Y-X1-专线(多伦多)</t>
        </is>
      </c>
      <c r="FP3" s="1" t="inlineStr">
        <is>
          <t>Y-X1-专线(卡尔加里)</t>
        </is>
      </c>
      <c r="FQ3" s="1" t="inlineStr">
        <is>
          <t>Y-X1-专线(卡尔加里)</t>
        </is>
      </c>
      <c r="FR3" s="1" t="inlineStr">
        <is>
          <t>Y-X1-专线(多伦多)</t>
        </is>
      </c>
      <c r="FS3" s="1" t="inlineStr">
        <is>
          <t>Y-X1-专线(多伦多)</t>
        </is>
      </c>
      <c r="FT3" s="1" t="inlineStr">
        <is>
          <t>Y-X1-专线(多伦多)</t>
        </is>
      </c>
      <c r="FU3" s="1" t="inlineStr">
        <is>
          <t>Y-X1-专线(多伦多)</t>
        </is>
      </c>
      <c r="FV3" s="1" t="inlineStr">
        <is>
          <t>Y-X1-专线(多伦多)</t>
        </is>
      </c>
      <c r="FW3" s="1" t="inlineStr">
        <is>
          <t>Y-X1-专线(温哥华)</t>
        </is>
      </c>
      <c r="FX3" s="1" t="inlineStr">
        <is>
          <t>Y-X1-专线(温哥华)</t>
        </is>
      </c>
      <c r="FY3" s="1" t="inlineStr">
        <is>
          <t>Y-X1-专线(温哥华)</t>
        </is>
      </c>
      <c r="FZ3" s="1" t="inlineStr">
        <is>
          <t>Y-X1-专线(温哥华)</t>
        </is>
      </c>
      <c r="GA3" s="1" t="inlineStr">
        <is>
          <t>Y-X1-专线(多伦多)</t>
        </is>
      </c>
      <c r="GB3" s="1" t="inlineStr">
        <is>
          <t>Y-X1-专线(温哥华)</t>
        </is>
      </c>
      <c r="GC3" s="1" t="inlineStr">
        <is>
          <t>Y-X1-专线(卡尔加里)</t>
        </is>
      </c>
      <c r="GD3" s="1" t="inlineStr">
        <is>
          <t>Y-X1-专线(卡尔加里)</t>
        </is>
      </c>
      <c r="GE3" s="1" t="inlineStr">
        <is>
          <t>Y-X1-专线(卡尔加里)</t>
        </is>
      </c>
      <c r="GF3" s="1" t="inlineStr">
        <is>
          <t>Y-X1-专线(多伦多)</t>
        </is>
      </c>
      <c r="GG3" s="1" t="inlineStr">
        <is>
          <t>Y-X1-专线(多伦多)</t>
        </is>
      </c>
      <c r="GH3" s="1" t="inlineStr">
        <is>
          <t>Y-X1-专线(多伦多)</t>
        </is>
      </c>
      <c r="GI3" s="1" t="inlineStr">
        <is>
          <t>Y-X1-专线(多伦多)</t>
        </is>
      </c>
      <c r="GJ3" s="1" t="inlineStr">
        <is>
          <t>Y-X1-专线(多伦多)</t>
        </is>
      </c>
      <c r="GK3" s="1" t="inlineStr">
        <is>
          <t>Y-X1-专线(多伦多)</t>
        </is>
      </c>
      <c r="GL3" s="1" t="inlineStr">
        <is>
          <t>Y-718专线</t>
        </is>
      </c>
      <c r="GM3" s="1" t="inlineStr">
        <is>
          <t>Y-X1-专线(多伦多)</t>
        </is>
      </c>
      <c r="GN3" s="1" t="inlineStr">
        <is>
          <t>Y-718海派</t>
        </is>
      </c>
      <c r="GO3" s="1" t="inlineStr">
        <is>
          <t>Y-718海派</t>
        </is>
      </c>
      <c r="GP3" s="1" t="inlineStr">
        <is>
          <t>Y-718海派</t>
        </is>
      </c>
      <c r="GQ3" s="1" t="inlineStr">
        <is>
          <t>Q15纽约海卡</t>
        </is>
      </c>
      <c r="GR3" s="1" t="inlineStr">
        <is>
          <t>Q15纽约海卡</t>
        </is>
      </c>
      <c r="GS3" s="1" t="inlineStr">
        <is>
          <t>Q-718专线</t>
        </is>
      </c>
      <c r="GT3" s="1" t="inlineStr">
        <is>
          <t>Q-718专线</t>
        </is>
      </c>
      <c r="GU3" s="1" t="inlineStr">
        <is>
          <t>Q15纽约海卡</t>
        </is>
      </c>
      <c r="GV3" s="1" t="inlineStr">
        <is>
          <t>Q15纽约海卡</t>
        </is>
      </c>
      <c r="GW3" s="1" t="inlineStr">
        <is>
          <t>Q15纽约海卡</t>
        </is>
      </c>
      <c r="GX3" s="1" t="inlineStr">
        <is>
          <t>Q-718专线</t>
        </is>
      </c>
      <c r="GY3" s="1" t="inlineStr">
        <is>
          <t>Q15纽约海卡</t>
        </is>
      </c>
      <c r="GZ3" s="1" t="inlineStr">
        <is>
          <t>Q15纽约海卡</t>
        </is>
      </c>
      <c r="HA3" s="1" t="inlineStr">
        <is>
          <t>Q-718专线</t>
        </is>
      </c>
      <c r="HB3" s="1" t="inlineStr">
        <is>
          <t>Q15纽约海卡</t>
        </is>
      </c>
      <c r="HC3" s="1" t="inlineStr">
        <is>
          <t>Q15纽约海卡</t>
        </is>
      </c>
      <c r="HD3" s="1" t="inlineStr">
        <is>
          <t>Q15纽约海卡</t>
        </is>
      </c>
      <c r="HE3" s="1" t="inlineStr">
        <is>
          <t>Q15纽约海卡</t>
        </is>
      </c>
      <c r="HF3" s="1" t="inlineStr">
        <is>
          <t>Q15纽约海卡</t>
        </is>
      </c>
      <c r="HG3" s="1" t="inlineStr">
        <is>
          <t>Q15纽约海卡</t>
        </is>
      </c>
      <c r="HH3" s="1" t="inlineStr">
        <is>
          <t>Q-718专线</t>
        </is>
      </c>
      <c r="HI3" s="1" t="inlineStr">
        <is>
          <t>Q15纽约海卡</t>
        </is>
      </c>
      <c r="HJ3" s="1" t="inlineStr">
        <is>
          <t>Q15纽约海卡</t>
        </is>
      </c>
      <c r="HK3" s="1" t="inlineStr">
        <is>
          <t>Q15纽约海卡</t>
        </is>
      </c>
      <c r="HL3" s="1" t="inlineStr">
        <is>
          <t>Q15纽约海卡</t>
        </is>
      </c>
      <c r="HM3" s="1" t="inlineStr">
        <is>
          <t>Q-718专线</t>
        </is>
      </c>
      <c r="HN3" s="1" t="inlineStr">
        <is>
          <t>Q-718专线</t>
        </is>
      </c>
      <c r="HO3" s="1" t="inlineStr">
        <is>
          <t>Q-718专线</t>
        </is>
      </c>
      <c r="HP3" s="1" t="inlineStr">
        <is>
          <t>Q-718专线</t>
        </is>
      </c>
      <c r="HQ3" s="1" t="inlineStr">
        <is>
          <t>Q-718专线</t>
        </is>
      </c>
      <c r="HR3" s="1" t="inlineStr">
        <is>
          <t>Q-718专线</t>
        </is>
      </c>
      <c r="HS3" s="1" t="inlineStr">
        <is>
          <t>Q-718专线</t>
        </is>
      </c>
      <c r="HT3" s="1" t="inlineStr">
        <is>
          <t>Q15纽约海卡</t>
        </is>
      </c>
      <c r="HU3" s="1" t="inlineStr">
        <is>
          <t>Q-718专线</t>
        </is>
      </c>
      <c r="HV3" s="1" t="inlineStr">
        <is>
          <t>Q-718专线</t>
        </is>
      </c>
      <c r="HW3" s="1" t="inlineStr">
        <is>
          <t>Q15纽约海卡</t>
        </is>
      </c>
      <c r="HX3" s="1" t="inlineStr">
        <is>
          <t>Q15纽约海卡</t>
        </is>
      </c>
      <c r="HY3" s="1" t="inlineStr">
        <is>
          <t>Q15纽约海卡</t>
        </is>
      </c>
      <c r="HZ3" s="1" t="inlineStr">
        <is>
          <t>Q15纽约海卡</t>
        </is>
      </c>
      <c r="IA3" s="1" t="inlineStr">
        <is>
          <t>Q-718专线</t>
        </is>
      </c>
      <c r="IB3" s="1" t="inlineStr">
        <is>
          <t>Q15纽约海卡</t>
        </is>
      </c>
      <c r="IC3" s="1" t="inlineStr">
        <is>
          <t>Q-718专线</t>
        </is>
      </c>
      <c r="ID3" s="1" t="inlineStr">
        <is>
          <t>Q-718专线</t>
        </is>
      </c>
      <c r="IE3" s="1" t="inlineStr">
        <is>
          <t>Q15纽约海卡</t>
        </is>
      </c>
      <c r="IF3" s="1" t="inlineStr">
        <is>
          <t>Q-718专线</t>
        </is>
      </c>
      <c r="IG3" s="1" t="inlineStr">
        <is>
          <t>Q15纽约海卡</t>
        </is>
      </c>
      <c r="IH3" s="1" t="inlineStr">
        <is>
          <t>Q-718专线</t>
        </is>
      </c>
      <c r="II3" s="1" t="inlineStr">
        <is>
          <t>Q-718专线</t>
        </is>
      </c>
      <c r="IJ3" s="1" t="inlineStr">
        <is>
          <t>Q-718专线</t>
        </is>
      </c>
      <c r="IK3" s="1" t="inlineStr">
        <is>
          <t>Q15纽约海卡</t>
        </is>
      </c>
      <c r="IL3" s="1" t="inlineStr">
        <is>
          <t>Q15纽约海卡</t>
        </is>
      </c>
      <c r="IM3" s="1" t="inlineStr">
        <is>
          <t>Q-718专线</t>
        </is>
      </c>
      <c r="IN3" s="1" t="inlineStr">
        <is>
          <t>Q-718专线</t>
        </is>
      </c>
      <c r="IO3" s="1" t="inlineStr">
        <is>
          <t>Q-718专线</t>
        </is>
      </c>
      <c r="IP3" s="1" t="inlineStr">
        <is>
          <t>Q-718专线</t>
        </is>
      </c>
      <c r="IQ3" s="1" t="inlineStr">
        <is>
          <t>Q-718专线</t>
        </is>
      </c>
      <c r="IR3" s="1" t="inlineStr">
        <is>
          <t>Q-718专线</t>
        </is>
      </c>
      <c r="IS3" s="1" t="inlineStr">
        <is>
          <t>Q15纽约海卡</t>
        </is>
      </c>
      <c r="IT3" s="1" t="inlineStr">
        <is>
          <t>Q-718专线</t>
        </is>
      </c>
      <c r="IU3" s="1" t="inlineStr">
        <is>
          <t>Q-718专线</t>
        </is>
      </c>
      <c r="IV3" s="1" t="inlineStr">
        <is>
          <t>Q-718专线</t>
        </is>
      </c>
      <c r="IW3" s="1" t="inlineStr">
        <is>
          <t>Q-718专线</t>
        </is>
      </c>
      <c r="IX3" s="1" t="inlineStr">
        <is>
          <t>Q-718专线</t>
        </is>
      </c>
      <c r="IY3" s="1" t="inlineStr">
        <is>
          <t>Q15纽约海卡</t>
        </is>
      </c>
      <c r="IZ3" s="1" t="inlineStr">
        <is>
          <t>Q15纽约海卡</t>
        </is>
      </c>
      <c r="JA3" s="1" t="inlineStr">
        <is>
          <t>Q15纽约海卡</t>
        </is>
      </c>
      <c r="JB3" s="1" t="inlineStr">
        <is>
          <t>Q-718专线</t>
        </is>
      </c>
      <c r="JC3" s="1" t="inlineStr">
        <is>
          <t>Q-718专线</t>
        </is>
      </c>
      <c r="JD3" s="1" t="inlineStr">
        <is>
          <t>Q15纽约海卡</t>
        </is>
      </c>
      <c r="JE3" s="1" t="inlineStr">
        <is>
          <t>Q15纽约海卡</t>
        </is>
      </c>
      <c r="JF3" s="1" t="inlineStr">
        <is>
          <t>Q-718专线</t>
        </is>
      </c>
      <c r="JG3" s="1" t="inlineStr">
        <is>
          <t>Q-718专线</t>
        </is>
      </c>
      <c r="JH3" s="1" t="inlineStr">
        <is>
          <t>Q-718专线</t>
        </is>
      </c>
      <c r="JI3" s="1" t="inlineStr">
        <is>
          <t>Q-718专线</t>
        </is>
      </c>
      <c r="JJ3" s="1" t="inlineStr">
        <is>
          <t>Q-718专线</t>
        </is>
      </c>
      <c r="JK3" s="1" t="inlineStr">
        <is>
          <t>Q-718专线</t>
        </is>
      </c>
      <c r="JL3" s="1" t="inlineStr">
        <is>
          <t>Q-718专线</t>
        </is>
      </c>
      <c r="JM3" s="1" t="inlineStr">
        <is>
          <t>Q-718专线</t>
        </is>
      </c>
      <c r="JN3" s="1" t="inlineStr">
        <is>
          <t>Q15纽约海卡</t>
        </is>
      </c>
      <c r="JO3" s="1" t="inlineStr">
        <is>
          <t>Q-718专线</t>
        </is>
      </c>
      <c r="JP3" s="1" t="inlineStr">
        <is>
          <t>Q-718专线</t>
        </is>
      </c>
      <c r="JQ3" s="1" t="inlineStr">
        <is>
          <t>Q-718专线</t>
        </is>
      </c>
      <c r="JR3" s="1" t="inlineStr">
        <is>
          <t>Q-718专线</t>
        </is>
      </c>
      <c r="JS3" s="1" t="inlineStr">
        <is>
          <t>Q-718专线</t>
        </is>
      </c>
      <c r="JT3" s="1" t="inlineStr">
        <is>
          <t>Q-718专线</t>
        </is>
      </c>
      <c r="JU3" s="1" t="inlineStr">
        <is>
          <t>Q-718专线</t>
        </is>
      </c>
      <c r="JV3" s="1" t="inlineStr">
        <is>
          <t>Q-718专线</t>
        </is>
      </c>
      <c r="JW3" s="1" t="inlineStr">
        <is>
          <t>Q15纽约海卡</t>
        </is>
      </c>
      <c r="JX3" s="1" t="inlineStr">
        <is>
          <t>Q-718专线</t>
        </is>
      </c>
      <c r="JY3" s="1" t="inlineStr">
        <is>
          <t>Q-718专线</t>
        </is>
      </c>
      <c r="JZ3" s="1" t="inlineStr">
        <is>
          <t>Q-718专线</t>
        </is>
      </c>
      <c r="KA3" s="1" t="inlineStr">
        <is>
          <t>Q-718专线</t>
        </is>
      </c>
      <c r="KB3" s="1" t="inlineStr">
        <is>
          <t>Q-718专线</t>
        </is>
      </c>
      <c r="KC3" s="1" t="inlineStr">
        <is>
          <t>Q-718专线</t>
        </is>
      </c>
      <c r="KD3" s="1" t="inlineStr">
        <is>
          <t>Q-718专线</t>
        </is>
      </c>
      <c r="KE3" s="1" t="inlineStr">
        <is>
          <t>Q-718专线</t>
        </is>
      </c>
      <c r="KF3" s="1" t="inlineStr">
        <is>
          <t>Q-718专线</t>
        </is>
      </c>
      <c r="KG3" s="1" t="inlineStr">
        <is>
          <t>Q15纽约海卡</t>
        </is>
      </c>
      <c r="KH3" s="1" t="inlineStr">
        <is>
          <t>Q-718专线</t>
        </is>
      </c>
      <c r="KI3" s="1" t="inlineStr">
        <is>
          <t>Q-718专线</t>
        </is>
      </c>
      <c r="KJ3" s="1" t="inlineStr">
        <is>
          <t>Q-718专线</t>
        </is>
      </c>
      <c r="KK3" s="1" t="inlineStr">
        <is>
          <t>Q15纽约海卡</t>
        </is>
      </c>
      <c r="KL3" s="1" t="inlineStr">
        <is>
          <t>Q15纽约海卡</t>
        </is>
      </c>
      <c r="KM3" s="1" t="inlineStr">
        <is>
          <t>Q15纽约海卡</t>
        </is>
      </c>
      <c r="KN3" s="1" t="inlineStr">
        <is>
          <t>Q-718专线</t>
        </is>
      </c>
      <c r="KO3" s="1" t="inlineStr">
        <is>
          <t>Q15纽约海卡</t>
        </is>
      </c>
      <c r="KP3" s="1" t="inlineStr">
        <is>
          <t>Q15纽约海卡</t>
        </is>
      </c>
      <c r="KQ3" s="1" t="inlineStr">
        <is>
          <t>Q15纽约海卡</t>
        </is>
      </c>
      <c r="KR3" s="1" t="inlineStr">
        <is>
          <t>Q-718专线</t>
        </is>
      </c>
      <c r="KS3" s="1" t="inlineStr">
        <is>
          <t>Q15纽约海卡</t>
        </is>
      </c>
      <c r="KT3" s="1" t="inlineStr">
        <is>
          <t>Q15纽约海卡</t>
        </is>
      </c>
      <c r="KU3" s="1" t="inlineStr">
        <is>
          <t>Q15纽约海卡</t>
        </is>
      </c>
      <c r="KV3" s="1" t="inlineStr">
        <is>
          <t>Q-718专线</t>
        </is>
      </c>
      <c r="KW3" s="1" t="inlineStr">
        <is>
          <t>Q15纽约海卡</t>
        </is>
      </c>
      <c r="KX3" s="1" t="inlineStr">
        <is>
          <t>Q15纽约海卡</t>
        </is>
      </c>
      <c r="KY3" s="1" t="inlineStr">
        <is>
          <t>Q-718专线</t>
        </is>
      </c>
      <c r="KZ3" s="1" t="inlineStr">
        <is>
          <t>718海派</t>
        </is>
      </c>
      <c r="LA3" s="1" t="inlineStr">
        <is>
          <t>718海派</t>
        </is>
      </c>
      <c r="LB3" s="1" t="inlineStr">
        <is>
          <t>718海派</t>
        </is>
      </c>
    </row>
    <row r="4">
      <c r="B4" s="1" t="inlineStr">
        <is>
          <t>ABE8</t>
        </is>
      </c>
      <c r="C4" s="1" t="inlineStr">
        <is>
          <t>ABE8</t>
        </is>
      </c>
      <c r="E4" s="1" t="inlineStr">
        <is>
          <t>Y-纽约快速达</t>
        </is>
      </c>
      <c r="F4" s="1" t="inlineStr">
        <is>
          <t>义乌</t>
        </is>
      </c>
      <c r="G4" s="1" t="inlineStr">
        <is>
          <t>ABE8</t>
        </is>
      </c>
      <c r="H4" s="134" t="n">
        <v>9.18</v>
      </c>
      <c r="I4" s="1" t="inlineStr">
        <is>
          <t>Y-A6全美直送专线</t>
        </is>
      </c>
      <c r="J4" s="134" t="n">
        <v>0</v>
      </c>
      <c r="K4" s="1" t="n"/>
      <c r="L4" s="1" t="inlineStr">
        <is>
          <t>Y-718海派</t>
        </is>
      </c>
      <c r="M4" s="1" t="inlineStr">
        <is>
          <t>Q-718专线</t>
        </is>
      </c>
      <c r="N4" s="1" t="n"/>
      <c r="P4" s="1" t="n"/>
      <c r="Q4" s="1" t="n"/>
      <c r="R4" s="1" t="n"/>
      <c r="S4" s="1" t="n"/>
      <c r="T4" s="1" t="inlineStr">
        <is>
          <t>Y-纽约快速达</t>
        </is>
      </c>
      <c r="U4" s="1" t="inlineStr">
        <is>
          <t>Y-A4SAV</t>
        </is>
      </c>
      <c r="V4" s="1" t="inlineStr">
        <is>
          <t>Y-纽约快速达</t>
        </is>
      </c>
      <c r="W4" s="1" t="inlineStr">
        <is>
          <t>Y-911专线</t>
        </is>
      </c>
      <c r="X4" s="1" t="inlineStr">
        <is>
          <t>Y-K16萨瓦纳海卡</t>
        </is>
      </c>
      <c r="Y4" s="1" t="inlineStr">
        <is>
          <t>Y-A4SAV</t>
        </is>
      </c>
      <c r="Z4" s="1" t="inlineStr">
        <is>
          <t>Y-K14芝加哥专线</t>
        </is>
      </c>
      <c r="AA4" s="1" t="inlineStr">
        <is>
          <t>Y-K14芝加哥专线</t>
        </is>
      </c>
      <c r="AC4" s="1" t="inlineStr">
        <is>
          <t>Y-纽约快速达</t>
        </is>
      </c>
      <c r="AD4" s="1" t="inlineStr">
        <is>
          <t>Y-快速达</t>
        </is>
      </c>
      <c r="AE4" s="1" t="inlineStr">
        <is>
          <t>Y-琦速达芝加哥</t>
        </is>
      </c>
      <c r="AF4" s="1" t="inlineStr">
        <is>
          <t>Y-琦速达芝加哥</t>
        </is>
      </c>
      <c r="AI4" s="1" t="inlineStr">
        <is>
          <t>Y-快速达</t>
        </is>
      </c>
      <c r="AJ4" s="1" t="inlineStr">
        <is>
          <t>Y-K14芝加哥专线</t>
        </is>
      </c>
      <c r="AK4" s="1" t="inlineStr">
        <is>
          <t>Y-911专线</t>
        </is>
      </c>
      <c r="AO4" s="1" t="inlineStr">
        <is>
          <t>Y-911专线</t>
        </is>
      </c>
      <c r="AP4" s="1" t="inlineStr">
        <is>
          <t>Y-奥克兰快船</t>
        </is>
      </c>
      <c r="AQ4" s="1" t="inlineStr">
        <is>
          <t>Y-911专线</t>
        </is>
      </c>
      <c r="AR4" s="1" t="inlineStr">
        <is>
          <t>Y-911专线</t>
        </is>
      </c>
      <c r="AS4" s="1" t="inlineStr">
        <is>
          <t>Y-A4SAV</t>
        </is>
      </c>
      <c r="AT4" s="1" t="inlineStr">
        <is>
          <t>Y-911专线</t>
        </is>
      </c>
      <c r="AU4" s="1" t="inlineStr">
        <is>
          <t>Y-911专线</t>
        </is>
      </c>
      <c r="AV4" s="1" t="inlineStr">
        <is>
          <t>Y-纽约快速达</t>
        </is>
      </c>
      <c r="AW4" s="1" t="inlineStr">
        <is>
          <t>Y-纽约快速达</t>
        </is>
      </c>
      <c r="AX4" s="1" t="inlineStr">
        <is>
          <t>Y-纽约快速达</t>
        </is>
      </c>
      <c r="AY4" s="1" t="inlineStr">
        <is>
          <t>Y-纽约快速达</t>
        </is>
      </c>
      <c r="AZ4" s="1" t="inlineStr">
        <is>
          <t>Y-911专线</t>
        </is>
      </c>
      <c r="BF4" s="1" t="inlineStr">
        <is>
          <t>Y-A4SAV</t>
        </is>
      </c>
      <c r="BG4" s="1" t="inlineStr">
        <is>
          <t>Y-911专线</t>
        </is>
      </c>
      <c r="BK4" s="1" t="inlineStr">
        <is>
          <t>Y-K16萨瓦纳海卡</t>
        </is>
      </c>
      <c r="BL4" s="1" t="inlineStr">
        <is>
          <t>Y-琦速达芝加哥</t>
        </is>
      </c>
      <c r="BM4" s="1" t="inlineStr">
        <is>
          <t>Y-纽约快速达</t>
        </is>
      </c>
      <c r="BP4" s="1" t="inlineStr">
        <is>
          <t>Y-K16萨瓦纳海卡</t>
        </is>
      </c>
      <c r="BQ4" s="1" t="inlineStr">
        <is>
          <t>Y-K16萨瓦纳海卡</t>
        </is>
      </c>
      <c r="BR4" s="1" t="inlineStr">
        <is>
          <t>Y-琦速达芝加哥</t>
        </is>
      </c>
      <c r="BS4" s="1" t="inlineStr">
        <is>
          <t>Y-911专线</t>
        </is>
      </c>
      <c r="BT4" s="1" t="inlineStr">
        <is>
          <t>Y-纽约快速达</t>
        </is>
      </c>
      <c r="BV4" s="1" t="inlineStr">
        <is>
          <t>Y-A4-专线</t>
        </is>
      </c>
      <c r="BW4" s="1" t="inlineStr">
        <is>
          <t>Y-911专线</t>
        </is>
      </c>
      <c r="BX4" s="1" t="inlineStr">
        <is>
          <t>Y-A4SAV</t>
        </is>
      </c>
      <c r="BY4" s="1" t="inlineStr">
        <is>
          <t>Y-纽约快速达</t>
        </is>
      </c>
      <c r="CE4" s="1" t="inlineStr">
        <is>
          <t>Y-K16萨瓦纳海卡</t>
        </is>
      </c>
      <c r="CF4" s="1" t="inlineStr">
        <is>
          <t>Y-琦速达芝加哥</t>
        </is>
      </c>
      <c r="CG4" s="1" t="inlineStr">
        <is>
          <t>Y-911专线</t>
        </is>
      </c>
      <c r="CH4" s="1" t="inlineStr">
        <is>
          <t>Y-快速达</t>
        </is>
      </c>
      <c r="CI4" s="1" t="inlineStr">
        <is>
          <t>Y-911专线</t>
        </is>
      </c>
      <c r="CJ4" s="1" t="inlineStr">
        <is>
          <t>Y-纽约快速达</t>
        </is>
      </c>
      <c r="CL4" s="1" t="inlineStr">
        <is>
          <t>Y-快速达</t>
        </is>
      </c>
      <c r="CM4" s="1" t="inlineStr">
        <is>
          <t>Y-快速达</t>
        </is>
      </c>
      <c r="CN4" s="1" t="inlineStr">
        <is>
          <t>Y-911专线</t>
        </is>
      </c>
      <c r="CP4" s="1" t="inlineStr">
        <is>
          <t>Y-奥克兰快船</t>
        </is>
      </c>
      <c r="CQ4" s="1" t="inlineStr">
        <is>
          <t>Y-奥克兰快船</t>
        </is>
      </c>
      <c r="CS4" s="1" t="inlineStr">
        <is>
          <t>Y-A4SAV</t>
        </is>
      </c>
      <c r="CT4" s="1" t="inlineStr">
        <is>
          <t>Y-纽约快速达</t>
        </is>
      </c>
      <c r="CU4" s="1" t="inlineStr">
        <is>
          <t>Y-纽约快速达</t>
        </is>
      </c>
      <c r="CV4" s="1" t="inlineStr">
        <is>
          <t>Y-911专线</t>
        </is>
      </c>
      <c r="CW4" s="1" t="inlineStr">
        <is>
          <t>Y-琦速达芝加哥</t>
        </is>
      </c>
      <c r="CX4" s="1" t="inlineStr">
        <is>
          <t>Y-911专线</t>
        </is>
      </c>
      <c r="CZ4" s="1" t="inlineStr">
        <is>
          <t>Y-纽约快速达</t>
        </is>
      </c>
      <c r="DA4" s="1" t="inlineStr">
        <is>
          <t>Y-A4SAV</t>
        </is>
      </c>
      <c r="DB4" s="1" t="inlineStr">
        <is>
          <t>Y-911专线</t>
        </is>
      </c>
      <c r="DC4" s="1" t="inlineStr">
        <is>
          <t>Y-琦速达芝加哥</t>
        </is>
      </c>
      <c r="DD4" s="1" t="inlineStr">
        <is>
          <t>Y-911专线</t>
        </is>
      </c>
      <c r="DE4" s="1" t="inlineStr">
        <is>
          <t>Y-K16萨瓦纳海卡</t>
        </is>
      </c>
      <c r="DF4" s="1" t="inlineStr">
        <is>
          <t>Y-奥克兰快船</t>
        </is>
      </c>
      <c r="DH4" s="1" t="inlineStr">
        <is>
          <t>Y-911专线</t>
        </is>
      </c>
      <c r="DI4" s="1" t="inlineStr">
        <is>
          <t>Y-琦速达芝加哥</t>
        </is>
      </c>
      <c r="DJ4" s="1" t="inlineStr">
        <is>
          <t>Y-911专线</t>
        </is>
      </c>
      <c r="DK4" s="1" t="inlineStr">
        <is>
          <t>Y-K16萨瓦纳海卡</t>
        </is>
      </c>
      <c r="DL4" s="1" t="inlineStr">
        <is>
          <t>Y-快速达</t>
        </is>
      </c>
      <c r="DM4" s="1" t="inlineStr">
        <is>
          <t>Y-快速达</t>
        </is>
      </c>
      <c r="DN4" s="1" t="inlineStr">
        <is>
          <t>Y-快速达</t>
        </is>
      </c>
      <c r="DO4" s="1" t="inlineStr">
        <is>
          <t>Y-纽约快速达</t>
        </is>
      </c>
      <c r="DP4" s="1" t="inlineStr">
        <is>
          <t>Y-911专线</t>
        </is>
      </c>
      <c r="DQ4" s="1" t="inlineStr">
        <is>
          <t>Y-911专线</t>
        </is>
      </c>
      <c r="DR4" s="1" t="inlineStr">
        <is>
          <t>Y-911专线</t>
        </is>
      </c>
      <c r="DS4" s="1" t="inlineStr">
        <is>
          <t>Y-911专线</t>
        </is>
      </c>
      <c r="DT4" s="1" t="inlineStr">
        <is>
          <t>Y-911专线</t>
        </is>
      </c>
      <c r="DU4" s="1" t="inlineStr">
        <is>
          <t>Y-911专线</t>
        </is>
      </c>
      <c r="DV4" s="1" t="inlineStr">
        <is>
          <t>Y-K14芝加哥专线</t>
        </is>
      </c>
      <c r="DW4" s="1" t="inlineStr">
        <is>
          <t>Y-琦速达芝加哥</t>
        </is>
      </c>
      <c r="DX4" s="1" t="inlineStr">
        <is>
          <t>Y-911专线</t>
        </is>
      </c>
      <c r="DY4" s="1" t="inlineStr">
        <is>
          <t>Y-A4SAV</t>
        </is>
      </c>
      <c r="EC4" s="1" t="inlineStr">
        <is>
          <t>Y-911专线</t>
        </is>
      </c>
      <c r="ED4" s="1" t="inlineStr">
        <is>
          <t>Y-快速达</t>
        </is>
      </c>
      <c r="EE4" s="1" t="inlineStr">
        <is>
          <t>Y-奥克兰快船</t>
        </is>
      </c>
      <c r="EG4" s="1" t="inlineStr">
        <is>
          <t>Y-911专线</t>
        </is>
      </c>
      <c r="EH4" s="1" t="inlineStr">
        <is>
          <t>Y-911专线</t>
        </is>
      </c>
      <c r="EI4" s="1" t="inlineStr">
        <is>
          <t>Y-快速达</t>
        </is>
      </c>
      <c r="EK4" s="1" t="inlineStr">
        <is>
          <t>Y-911专线</t>
        </is>
      </c>
      <c r="EL4" s="1" t="inlineStr">
        <is>
          <t>Y-奥克兰快船</t>
        </is>
      </c>
      <c r="EN4" s="1" t="inlineStr">
        <is>
          <t>Y-快速达</t>
        </is>
      </c>
      <c r="EO4" s="1" t="inlineStr">
        <is>
          <t>Y-琦速达芝加哥</t>
        </is>
      </c>
      <c r="EP4" s="1" t="inlineStr">
        <is>
          <t>Y-琦速达芝加哥</t>
        </is>
      </c>
      <c r="EQ4" s="1" t="inlineStr">
        <is>
          <t>Y-纽约快速达</t>
        </is>
      </c>
      <c r="ER4" s="1" t="inlineStr">
        <is>
          <t>Y-911专线</t>
        </is>
      </c>
      <c r="ES4" s="1" t="inlineStr">
        <is>
          <t>Y-911专线</t>
        </is>
      </c>
      <c r="ET4" s="1" t="inlineStr">
        <is>
          <t>Y-911专线</t>
        </is>
      </c>
      <c r="EU4" s="1" t="inlineStr">
        <is>
          <t>Y-纽约快速达</t>
        </is>
      </c>
      <c r="EV4" s="1" t="inlineStr">
        <is>
          <t>Y-纽约快速达</t>
        </is>
      </c>
      <c r="EW4" s="1" t="inlineStr">
        <is>
          <t>Y-纽约快速达</t>
        </is>
      </c>
      <c r="EX4" s="1" t="inlineStr">
        <is>
          <t>Y-911专线</t>
        </is>
      </c>
      <c r="EY4" s="1" t="inlineStr">
        <is>
          <t>Y-琦速达芝加哥</t>
        </is>
      </c>
      <c r="EZ4" s="1" t="inlineStr">
        <is>
          <t>Y-A4SAV</t>
        </is>
      </c>
      <c r="FA4" s="1" t="inlineStr">
        <is>
          <t>Y-A4SAV</t>
        </is>
      </c>
      <c r="FB4" s="1" t="inlineStr">
        <is>
          <t>Y-纽约快速达</t>
        </is>
      </c>
      <c r="FC4" s="1" t="inlineStr">
        <is>
          <t>Y-911专线</t>
        </is>
      </c>
      <c r="FE4" s="1" t="inlineStr">
        <is>
          <t>Y-纽约快速达</t>
        </is>
      </c>
      <c r="FF4" s="1" t="inlineStr">
        <is>
          <t>Y-纽约快速达</t>
        </is>
      </c>
      <c r="FG4" s="1" t="inlineStr">
        <is>
          <t>Y-A4SAV</t>
        </is>
      </c>
      <c r="FH4" s="1" t="inlineStr">
        <is>
          <t>Y-A4-专线</t>
        </is>
      </c>
      <c r="FI4" s="1" t="inlineStr">
        <is>
          <t>Y-K16萨瓦纳海卡</t>
        </is>
      </c>
      <c r="FJ4" s="1" t="inlineStr">
        <is>
          <t>Y-K16萨瓦纳海卡</t>
        </is>
      </c>
      <c r="FK4" s="1" t="inlineStr">
        <is>
          <t>Y15纽约海卡</t>
        </is>
      </c>
      <c r="FL4" s="1" t="inlineStr">
        <is>
          <t>Y-纽约快速达</t>
        </is>
      </c>
      <c r="FM4" s="1" t="inlineStr">
        <is>
          <t>Y-X1-多伦多海派</t>
        </is>
      </c>
      <c r="FN4" s="1" t="inlineStr">
        <is>
          <t>Y-X3-专线</t>
        </is>
      </c>
      <c r="FO4" s="1" t="inlineStr">
        <is>
          <t>Y-X3-专线</t>
        </is>
      </c>
      <c r="FP4" s="1" t="inlineStr">
        <is>
          <t>Y-X3-专线</t>
        </is>
      </c>
      <c r="FQ4" s="1" t="inlineStr">
        <is>
          <t>Y-X3-专线</t>
        </is>
      </c>
      <c r="FR4" s="1" t="inlineStr">
        <is>
          <t>Y-X1-多伦多海派</t>
        </is>
      </c>
      <c r="FS4" s="1" t="inlineStr">
        <is>
          <t>Y-X1-多伦多海派</t>
        </is>
      </c>
      <c r="FT4" s="1" t="inlineStr">
        <is>
          <t>Y-X1-多伦多海派</t>
        </is>
      </c>
      <c r="FU4" s="1" t="inlineStr">
        <is>
          <t>Y-X1-多伦多海派</t>
        </is>
      </c>
      <c r="FV4" s="1" t="inlineStr">
        <is>
          <t>Y-X1-多伦多海派</t>
        </is>
      </c>
      <c r="FW4" s="1" t="inlineStr">
        <is>
          <t>Y-X3-专线</t>
        </is>
      </c>
      <c r="FX4" s="1" t="inlineStr">
        <is>
          <t>Y-X3-专线</t>
        </is>
      </c>
      <c r="FY4" s="1" t="inlineStr">
        <is>
          <t>Y-X3-专线</t>
        </is>
      </c>
      <c r="FZ4" s="1" t="inlineStr">
        <is>
          <t>Y-X3-专线</t>
        </is>
      </c>
      <c r="GA4" s="1" t="inlineStr">
        <is>
          <t>Y-X1-多伦多海派</t>
        </is>
      </c>
      <c r="GB4" s="1" t="inlineStr">
        <is>
          <t>Y-X3-专线</t>
        </is>
      </c>
      <c r="GC4" s="1" t="inlineStr">
        <is>
          <t>Y-X3-专线</t>
        </is>
      </c>
      <c r="GD4" s="1" t="inlineStr">
        <is>
          <t>Y-X3-专线</t>
        </is>
      </c>
      <c r="GE4" s="1" t="inlineStr">
        <is>
          <t>Y-X3-专线</t>
        </is>
      </c>
      <c r="GF4" s="1" t="inlineStr">
        <is>
          <t>Y-X1-多伦多海派</t>
        </is>
      </c>
      <c r="GG4" s="1" t="inlineStr">
        <is>
          <t>Y-X1-多伦多海派</t>
        </is>
      </c>
      <c r="GH4" s="1" t="inlineStr">
        <is>
          <t>Y-X1-多伦多海派</t>
        </is>
      </c>
      <c r="GI4" s="1" t="inlineStr">
        <is>
          <t>Y-X1-多伦多海派</t>
        </is>
      </c>
      <c r="GJ4" s="1" t="inlineStr">
        <is>
          <t>Y-X1-多伦多海派</t>
        </is>
      </c>
      <c r="GK4" s="1" t="inlineStr">
        <is>
          <t>Y-X1-多伦多海派</t>
        </is>
      </c>
      <c r="GL4" s="1" t="inlineStr">
        <is>
          <t>Y-911专线</t>
        </is>
      </c>
      <c r="GM4" s="1" t="inlineStr">
        <is>
          <t>Y-X1-多伦多海派</t>
        </is>
      </c>
      <c r="GN4" s="1" t="inlineStr">
        <is>
          <t>Y-911海派</t>
        </is>
      </c>
      <c r="GO4" s="1" t="inlineStr">
        <is>
          <t>Y-911海派</t>
        </is>
      </c>
      <c r="GP4" s="1" t="inlineStr">
        <is>
          <t>Y-911海派</t>
        </is>
      </c>
      <c r="GS4" s="1" t="inlineStr">
        <is>
          <t>Q15纽约海卡</t>
        </is>
      </c>
      <c r="GX4" s="1" t="inlineStr">
        <is>
          <t>Q15纽约海卡</t>
        </is>
      </c>
      <c r="HH4" s="1" t="inlineStr">
        <is>
          <t>Q15纽约海卡</t>
        </is>
      </c>
      <c r="JJ4" s="1" t="inlineStr">
        <is>
          <t>Q15纽约海卡</t>
        </is>
      </c>
      <c r="JT4" s="1" t="inlineStr">
        <is>
          <t>Q15纽约海卡</t>
        </is>
      </c>
      <c r="JV4" s="1" t="inlineStr">
        <is>
          <t>Q15纽约海卡</t>
        </is>
      </c>
      <c r="KH4" s="1" t="inlineStr">
        <is>
          <t>Q15纽约海卡</t>
        </is>
      </c>
      <c r="KN4" s="1" t="inlineStr">
        <is>
          <t>Q15纽约海卡</t>
        </is>
      </c>
    </row>
    <row r="5">
      <c r="B5" s="1" t="inlineStr">
        <is>
          <t>ABQ2</t>
        </is>
      </c>
      <c r="C5" s="1" t="inlineStr">
        <is>
          <t>ABQ2</t>
        </is>
      </c>
      <c r="E5" s="1" t="inlineStr">
        <is>
          <t>Y15纽约海卡</t>
        </is>
      </c>
      <c r="F5" s="1" t="inlineStr">
        <is>
          <t>义乌</t>
        </is>
      </c>
      <c r="G5" s="1" t="inlineStr">
        <is>
          <t>ABQ2</t>
        </is>
      </c>
      <c r="H5" s="134" t="n">
        <v>10.58</v>
      </c>
      <c r="I5" s="1" t="inlineStr">
        <is>
          <t>Y-718专线</t>
        </is>
      </c>
      <c r="J5" s="134" t="n">
        <v>0</v>
      </c>
      <c r="K5" s="1" t="n"/>
      <c r="L5" s="1" t="inlineStr">
        <is>
          <t>Y-911专线</t>
        </is>
      </c>
      <c r="M5" s="1" t="inlineStr">
        <is>
          <t>Q15纽约海卡</t>
        </is>
      </c>
      <c r="N5" s="1" t="n"/>
      <c r="P5" s="1" t="n"/>
      <c r="Q5" s="1" t="n"/>
      <c r="R5" s="1" t="n"/>
      <c r="S5" s="1" t="n"/>
      <c r="T5" s="1" t="inlineStr">
        <is>
          <t>Y15纽约海卡</t>
        </is>
      </c>
      <c r="U5" s="1" t="inlineStr">
        <is>
          <t>Y-K16萨瓦纳海卡</t>
        </is>
      </c>
      <c r="V5" s="1" t="inlineStr">
        <is>
          <t>Y15纽约海卡</t>
        </is>
      </c>
      <c r="W5" s="1" t="inlineStr">
        <is>
          <t>Y-A4NY</t>
        </is>
      </c>
      <c r="Y5" s="1" t="inlineStr">
        <is>
          <t>Y-K16萨瓦纳海卡</t>
        </is>
      </c>
      <c r="Z5" s="1" t="inlineStr">
        <is>
          <t>Y-琦速达芝加哥</t>
        </is>
      </c>
      <c r="AA5" s="1" t="inlineStr">
        <is>
          <t>Y-琦速达芝加哥</t>
        </is>
      </c>
      <c r="AC5" s="1" t="inlineStr">
        <is>
          <t>Y15纽约海卡</t>
        </is>
      </c>
      <c r="AD5" s="1" t="inlineStr">
        <is>
          <t>Y-琦速达</t>
        </is>
      </c>
      <c r="AI5" s="1" t="inlineStr">
        <is>
          <t>Y-琦速达</t>
        </is>
      </c>
      <c r="AJ5" s="1" t="inlineStr">
        <is>
          <t>Y-琦速达芝加哥</t>
        </is>
      </c>
      <c r="AK5" s="1" t="inlineStr">
        <is>
          <t>Y-A6全美直送专线</t>
        </is>
      </c>
      <c r="AO5" s="1" t="inlineStr">
        <is>
          <t>Y-A4-专线</t>
        </is>
      </c>
      <c r="AP5" s="1" t="inlineStr">
        <is>
          <t>Y-快速达</t>
        </is>
      </c>
      <c r="AQ5" s="1" t="inlineStr">
        <is>
          <t>Y-A4-专线</t>
        </is>
      </c>
      <c r="AR5" s="1" t="inlineStr">
        <is>
          <t>Y-A4-专线</t>
        </is>
      </c>
      <c r="AS5" s="1" t="inlineStr">
        <is>
          <t>Y-K16萨瓦纳海卡</t>
        </is>
      </c>
      <c r="AT5" s="1" t="inlineStr">
        <is>
          <t>Y-A4-专线</t>
        </is>
      </c>
      <c r="AU5" s="1" t="inlineStr">
        <is>
          <t>Y-A4-专线</t>
        </is>
      </c>
      <c r="AV5" s="1" t="inlineStr">
        <is>
          <t>Y15纽约海卡</t>
        </is>
      </c>
      <c r="AW5" s="1" t="inlineStr">
        <is>
          <t>Y15纽约海卡</t>
        </is>
      </c>
      <c r="AX5" s="1" t="inlineStr">
        <is>
          <t>Y15纽约海卡</t>
        </is>
      </c>
      <c r="AY5" s="1" t="inlineStr">
        <is>
          <t>Y15纽约海卡</t>
        </is>
      </c>
      <c r="AZ5" s="1" t="inlineStr">
        <is>
          <t>Y-A4-专线</t>
        </is>
      </c>
      <c r="BF5" s="1" t="inlineStr">
        <is>
          <t>Y-K16萨瓦纳海卡</t>
        </is>
      </c>
      <c r="BG5" s="1" t="inlineStr">
        <is>
          <t>Y-A6全美直送专线</t>
        </is>
      </c>
      <c r="BM5" s="1" t="inlineStr">
        <is>
          <t>Y15纽约海卡</t>
        </is>
      </c>
      <c r="BS5" s="1" t="inlineStr">
        <is>
          <t>Y-A4-专线</t>
        </is>
      </c>
      <c r="BT5" s="1" t="inlineStr">
        <is>
          <t>Y15纽约海卡</t>
        </is>
      </c>
      <c r="BW5" s="1" t="inlineStr">
        <is>
          <t>Y-A4-专线</t>
        </is>
      </c>
      <c r="BX5" s="1" t="inlineStr">
        <is>
          <t>Y-K16萨瓦纳海卡</t>
        </is>
      </c>
      <c r="BY5" s="1" t="inlineStr">
        <is>
          <t>Y15纽约海卡</t>
        </is>
      </c>
      <c r="CG5" s="1" t="inlineStr">
        <is>
          <t>Y-A4-专线</t>
        </is>
      </c>
      <c r="CH5" s="1" t="inlineStr">
        <is>
          <t>Y-琦速达</t>
        </is>
      </c>
      <c r="CI5" s="1" t="inlineStr">
        <is>
          <t>Y-A4-专线</t>
        </is>
      </c>
      <c r="CJ5" s="1" t="inlineStr">
        <is>
          <t>Y15纽约海卡</t>
        </is>
      </c>
      <c r="CL5" s="1" t="inlineStr">
        <is>
          <t>Y-琦速达</t>
        </is>
      </c>
      <c r="CM5" s="1" t="inlineStr">
        <is>
          <t>Y-琦速达</t>
        </is>
      </c>
      <c r="CN5" s="1" t="inlineStr">
        <is>
          <t>Y-A4-专线</t>
        </is>
      </c>
      <c r="CP5" s="1" t="inlineStr">
        <is>
          <t>Y-快速达</t>
        </is>
      </c>
      <c r="CQ5" s="1" t="inlineStr">
        <is>
          <t>Y-快速达</t>
        </is>
      </c>
      <c r="CS5" s="1" t="inlineStr">
        <is>
          <t>Y-K16萨瓦纳海卡</t>
        </is>
      </c>
      <c r="CT5" s="1" t="inlineStr">
        <is>
          <t>Y15纽约海卡</t>
        </is>
      </c>
      <c r="CU5" s="1" t="inlineStr">
        <is>
          <t>Y15纽约海卡</t>
        </is>
      </c>
      <c r="CV5" s="1" t="inlineStr">
        <is>
          <t>Y-A4-专线</t>
        </is>
      </c>
      <c r="CX5" s="1" t="inlineStr">
        <is>
          <t>Y-A4-专线</t>
        </is>
      </c>
      <c r="CZ5" s="1" t="inlineStr">
        <is>
          <t>Y15纽约海卡</t>
        </is>
      </c>
      <c r="DA5" s="1" t="inlineStr">
        <is>
          <t>Y-K16萨瓦纳海卡</t>
        </is>
      </c>
      <c r="DB5" s="1" t="inlineStr">
        <is>
          <t>Y-A4-专线</t>
        </is>
      </c>
      <c r="DD5" s="1" t="inlineStr">
        <is>
          <t>Y-A4-专线</t>
        </is>
      </c>
      <c r="DH5" s="1" t="inlineStr">
        <is>
          <t>Y-A4-专线</t>
        </is>
      </c>
      <c r="DJ5" s="1" t="inlineStr">
        <is>
          <t>Y-A4NY</t>
        </is>
      </c>
      <c r="DL5" s="1" t="inlineStr">
        <is>
          <t>Y-琦速达</t>
        </is>
      </c>
      <c r="DM5" s="1" t="inlineStr">
        <is>
          <t>Y-琦速达</t>
        </is>
      </c>
      <c r="DN5" s="1" t="inlineStr">
        <is>
          <t>Y-琦速达</t>
        </is>
      </c>
      <c r="DO5" s="1" t="inlineStr">
        <is>
          <t>Y15纽约海卡</t>
        </is>
      </c>
      <c r="DP5" s="1" t="inlineStr">
        <is>
          <t>Y-A4-专线</t>
        </is>
      </c>
      <c r="DQ5" s="1" t="inlineStr">
        <is>
          <t>Y-A4-专线</t>
        </is>
      </c>
      <c r="DR5" s="1" t="inlineStr">
        <is>
          <t>Y-A4-专线</t>
        </is>
      </c>
      <c r="DS5" s="1" t="inlineStr">
        <is>
          <t>Y-快速达</t>
        </is>
      </c>
      <c r="DT5" s="1" t="inlineStr">
        <is>
          <t>Y-A4-专线</t>
        </is>
      </c>
      <c r="DU5" s="1" t="inlineStr">
        <is>
          <t>Y-A4NY</t>
        </is>
      </c>
      <c r="DV5" s="1" t="inlineStr">
        <is>
          <t>Y-快速达</t>
        </is>
      </c>
      <c r="DX5" s="1" t="inlineStr">
        <is>
          <t>Y-A4NY</t>
        </is>
      </c>
      <c r="DY5" s="1" t="inlineStr">
        <is>
          <t>Y-K16萨瓦纳海卡</t>
        </is>
      </c>
      <c r="EC5" s="1" t="inlineStr">
        <is>
          <t>Y-A4-专线</t>
        </is>
      </c>
      <c r="ED5" s="1" t="inlineStr">
        <is>
          <t>Y-琦速达</t>
        </is>
      </c>
      <c r="EE5" s="1" t="inlineStr">
        <is>
          <t>Y-快速达</t>
        </is>
      </c>
      <c r="EG5" s="1" t="inlineStr">
        <is>
          <t>Y-A4-专线</t>
        </is>
      </c>
      <c r="EH5" s="1" t="inlineStr">
        <is>
          <t>Y-A4-专线</t>
        </is>
      </c>
      <c r="EI5" s="1" t="inlineStr">
        <is>
          <t>Y-琦速达</t>
        </is>
      </c>
      <c r="EK5" s="1" t="inlineStr">
        <is>
          <t>Y-A4-专线</t>
        </is>
      </c>
      <c r="EL5" s="1" t="inlineStr">
        <is>
          <t>Y-快速达</t>
        </is>
      </c>
      <c r="EN5" s="1" t="inlineStr">
        <is>
          <t>Y-琦速达</t>
        </is>
      </c>
      <c r="EQ5" s="1" t="inlineStr">
        <is>
          <t>Y15纽约海卡</t>
        </is>
      </c>
      <c r="ER5" s="1" t="inlineStr">
        <is>
          <t>Y-A4NY</t>
        </is>
      </c>
      <c r="ES5" s="1" t="inlineStr">
        <is>
          <t>Y-A4-专线</t>
        </is>
      </c>
      <c r="ET5" s="1" t="inlineStr">
        <is>
          <t>Y-A4-专线</t>
        </is>
      </c>
      <c r="EU5" s="1" t="inlineStr">
        <is>
          <t>Y15纽约海卡</t>
        </is>
      </c>
      <c r="EV5" s="1" t="inlineStr">
        <is>
          <t>Y15纽约海卡</t>
        </is>
      </c>
      <c r="EW5" s="1" t="inlineStr">
        <is>
          <t>Y15纽约海卡</t>
        </is>
      </c>
      <c r="EX5" s="1" t="inlineStr">
        <is>
          <t>Y-A4NY</t>
        </is>
      </c>
      <c r="EZ5" s="1" t="inlineStr">
        <is>
          <t>Y-K16萨瓦纳海卡</t>
        </is>
      </c>
      <c r="FA5" s="1" t="inlineStr">
        <is>
          <t>Y-K16萨瓦纳海卡</t>
        </is>
      </c>
      <c r="FB5" s="1" t="inlineStr">
        <is>
          <t>Y15纽约海卡</t>
        </is>
      </c>
      <c r="FC5" s="1" t="inlineStr">
        <is>
          <t>Y-A4-专线</t>
        </is>
      </c>
      <c r="FE5" s="1" t="inlineStr">
        <is>
          <t>Y15纽约海卡</t>
        </is>
      </c>
      <c r="FF5" s="1" t="inlineStr">
        <is>
          <t>Y15纽约海卡</t>
        </is>
      </c>
      <c r="FG5" s="1" t="inlineStr">
        <is>
          <t>Y-K16萨瓦纳海卡</t>
        </is>
      </c>
      <c r="FL5" s="1" t="inlineStr">
        <is>
          <t>Y15纽约海卡</t>
        </is>
      </c>
      <c r="FM5" s="1" t="inlineStr">
        <is>
          <t>Y-X3-专线</t>
        </is>
      </c>
      <c r="FN5" s="1" t="inlineStr">
        <is>
          <t>Y-X5-专线</t>
        </is>
      </c>
      <c r="FO5" s="1" t="inlineStr">
        <is>
          <t>Y-X5-专线</t>
        </is>
      </c>
      <c r="FP5" s="1" t="inlineStr">
        <is>
          <t>Y-X3-海派</t>
        </is>
      </c>
      <c r="FQ5" s="1" t="inlineStr">
        <is>
          <t>Y-X3-海派</t>
        </is>
      </c>
      <c r="FR5" s="1" t="inlineStr">
        <is>
          <t>Y-X3-专线</t>
        </is>
      </c>
      <c r="FS5" s="1" t="inlineStr">
        <is>
          <t>Y-X3-专线</t>
        </is>
      </c>
      <c r="FT5" s="1" t="inlineStr">
        <is>
          <t>Y-X3-专线</t>
        </is>
      </c>
      <c r="FU5" s="1" t="inlineStr">
        <is>
          <t>Y-X3-专线</t>
        </is>
      </c>
      <c r="FV5" s="1" t="inlineStr">
        <is>
          <t>Y-X3-专线</t>
        </is>
      </c>
      <c r="FW5" s="1" t="inlineStr">
        <is>
          <t>Y-X3-海派</t>
        </is>
      </c>
      <c r="FX5" s="1" t="inlineStr">
        <is>
          <t>Y-X3-海派</t>
        </is>
      </c>
      <c r="FY5" s="1" t="inlineStr">
        <is>
          <t>Y-X3-海派</t>
        </is>
      </c>
      <c r="FZ5" s="1" t="inlineStr">
        <is>
          <t>Y-X3-海派</t>
        </is>
      </c>
      <c r="GA5" s="1" t="inlineStr">
        <is>
          <t>Y-X3-专线</t>
        </is>
      </c>
      <c r="GB5" s="1" t="inlineStr">
        <is>
          <t>Y-X3-海派</t>
        </is>
      </c>
      <c r="GC5" s="1" t="inlineStr">
        <is>
          <t>Y-X3-海派</t>
        </is>
      </c>
      <c r="GD5" s="1" t="inlineStr">
        <is>
          <t>Y-X3-海派</t>
        </is>
      </c>
      <c r="GE5" s="1" t="inlineStr">
        <is>
          <t>Y-X3-海派</t>
        </is>
      </c>
      <c r="GF5" s="1" t="inlineStr">
        <is>
          <t>Y-X3-专线</t>
        </is>
      </c>
      <c r="GG5" s="1" t="inlineStr">
        <is>
          <t>Y-X3-专线</t>
        </is>
      </c>
      <c r="GH5" s="1" t="inlineStr">
        <is>
          <t>Y-X3-专线</t>
        </is>
      </c>
      <c r="GI5" s="1" t="inlineStr">
        <is>
          <t>Y-X3-专线</t>
        </is>
      </c>
      <c r="GJ5" s="1" t="inlineStr">
        <is>
          <t>Y-X3-专线</t>
        </is>
      </c>
      <c r="GK5" s="1" t="inlineStr">
        <is>
          <t>Y-X3-专线</t>
        </is>
      </c>
      <c r="GL5" s="1" t="inlineStr">
        <is>
          <t>Y-A4-专线</t>
        </is>
      </c>
      <c r="GM5" s="1" t="inlineStr">
        <is>
          <t>Y-X3-海派</t>
        </is>
      </c>
      <c r="GN5" s="1" t="inlineStr">
        <is>
          <t>Y-快速达海派</t>
        </is>
      </c>
      <c r="GO5" s="1" t="inlineStr">
        <is>
          <t>Y-快速达海派</t>
        </is>
      </c>
      <c r="GP5" s="1" t="inlineStr">
        <is>
          <t>Y-快速达海派</t>
        </is>
      </c>
    </row>
    <row r="6">
      <c r="B6" s="1" t="inlineStr">
        <is>
          <t>ACY2</t>
        </is>
      </c>
      <c r="C6" s="1" t="inlineStr">
        <is>
          <t>ACY2</t>
        </is>
      </c>
      <c r="E6" s="1" t="inlineStr">
        <is>
          <t>Y琦速达纽约</t>
        </is>
      </c>
      <c r="F6" s="1" t="inlineStr">
        <is>
          <t>义乌</t>
        </is>
      </c>
      <c r="G6" s="1" t="inlineStr">
        <is>
          <t>ACY2</t>
        </is>
      </c>
      <c r="H6" s="134" t="n">
        <v>9.380000000000001</v>
      </c>
      <c r="I6" s="1" t="inlineStr">
        <is>
          <t>Y-A4NY</t>
        </is>
      </c>
      <c r="J6" s="134" t="n">
        <v>0</v>
      </c>
      <c r="K6" s="1" t="n"/>
      <c r="L6" s="1" t="inlineStr">
        <is>
          <t>Y-911海派</t>
        </is>
      </c>
      <c r="M6" s="1" t="n"/>
      <c r="N6" s="1" t="n"/>
      <c r="P6" s="1" t="n"/>
      <c r="Q6" s="1" t="n"/>
      <c r="R6" s="1" t="n"/>
      <c r="S6" s="1" t="n"/>
      <c r="T6" s="1" t="inlineStr">
        <is>
          <t>Y琦速达纽约</t>
        </is>
      </c>
      <c r="U6" s="1" t="inlineStr">
        <is>
          <t>Y-纽约快速达</t>
        </is>
      </c>
      <c r="V6" s="1" t="inlineStr">
        <is>
          <t>Y琦速达纽约</t>
        </is>
      </c>
      <c r="W6" s="1" t="inlineStr">
        <is>
          <t>Y-A4SAV</t>
        </is>
      </c>
      <c r="Y6" s="1" t="inlineStr">
        <is>
          <t>Y-纽约快速达</t>
        </is>
      </c>
      <c r="Z6" s="1" t="inlineStr">
        <is>
          <t>Y-纽约快速达</t>
        </is>
      </c>
      <c r="AA6" s="1" t="inlineStr">
        <is>
          <t>Y-纽约快速达</t>
        </is>
      </c>
      <c r="AC6" s="1" t="inlineStr">
        <is>
          <t>Y琦速达纽约</t>
        </is>
      </c>
      <c r="AK6" s="1" t="inlineStr">
        <is>
          <t>Y-K13美中专线</t>
        </is>
      </c>
      <c r="AO6" s="1" t="inlineStr">
        <is>
          <t>Y-K14芝加哥专线</t>
        </is>
      </c>
      <c r="AP6" s="1" t="inlineStr">
        <is>
          <t>Y-琦速达</t>
        </is>
      </c>
      <c r="AQ6" s="1" t="inlineStr">
        <is>
          <t>Y-A6全美直送专线</t>
        </is>
      </c>
      <c r="AR6" s="1" t="inlineStr">
        <is>
          <t>Y-A6全美直送专线</t>
        </is>
      </c>
      <c r="AS6" s="1" t="inlineStr">
        <is>
          <t>Y-纽约快速达</t>
        </is>
      </c>
      <c r="AT6" s="1" t="inlineStr">
        <is>
          <t>Y-A6全美直送专线</t>
        </is>
      </c>
      <c r="AU6" s="1" t="inlineStr">
        <is>
          <t>Y-A6全美直送专线</t>
        </is>
      </c>
      <c r="AV6" s="1" t="inlineStr">
        <is>
          <t>Y琦速达纽约</t>
        </is>
      </c>
      <c r="AW6" s="1" t="inlineStr">
        <is>
          <t>Y琦速达纽约</t>
        </is>
      </c>
      <c r="AX6" s="1" t="inlineStr">
        <is>
          <t>Y琦速达纽约</t>
        </is>
      </c>
      <c r="AY6" s="1" t="inlineStr">
        <is>
          <t>Y琦速达纽约</t>
        </is>
      </c>
      <c r="AZ6" s="1" t="inlineStr">
        <is>
          <t>Y-奥克兰快船</t>
        </is>
      </c>
      <c r="BF6" s="1" t="inlineStr">
        <is>
          <t>Y-纽约快速达</t>
        </is>
      </c>
      <c r="BG6" s="1" t="inlineStr">
        <is>
          <t>Y-K13美中专线</t>
        </is>
      </c>
      <c r="BM6" s="1" t="inlineStr">
        <is>
          <t>Y琦速达纽约</t>
        </is>
      </c>
      <c r="BS6" s="1" t="inlineStr">
        <is>
          <t>Y-A6全美直送专线</t>
        </is>
      </c>
      <c r="BT6" s="1" t="inlineStr">
        <is>
          <t>Y琦速达纽约</t>
        </is>
      </c>
      <c r="BW6" s="1" t="inlineStr">
        <is>
          <t>Y-A6全美直送专线</t>
        </is>
      </c>
      <c r="BX6" s="1" t="inlineStr">
        <is>
          <t>Y-纽约快速达</t>
        </is>
      </c>
      <c r="BY6" s="1" t="inlineStr">
        <is>
          <t>Y琦速达纽约</t>
        </is>
      </c>
      <c r="CG6" s="1" t="inlineStr">
        <is>
          <t>Y-A6全美直送专线</t>
        </is>
      </c>
      <c r="CI6" s="1" t="inlineStr">
        <is>
          <t>Y-A6全美直送专线</t>
        </is>
      </c>
      <c r="CJ6" s="1" t="inlineStr">
        <is>
          <t>Y琦速达纽约</t>
        </is>
      </c>
      <c r="CN6" s="1" t="inlineStr">
        <is>
          <t>Y-A6全美直送专线</t>
        </is>
      </c>
      <c r="CP6" s="1" t="inlineStr">
        <is>
          <t>Y-琦速达</t>
        </is>
      </c>
      <c r="CQ6" s="1" t="inlineStr">
        <is>
          <t>Y-琦速达</t>
        </is>
      </c>
      <c r="CS6" s="1" t="inlineStr">
        <is>
          <t>Y-纽约快速达</t>
        </is>
      </c>
      <c r="CT6" s="1" t="inlineStr">
        <is>
          <t>Y琦速达纽约</t>
        </is>
      </c>
      <c r="CU6" s="1" t="inlineStr">
        <is>
          <t>Y琦速达纽约</t>
        </is>
      </c>
      <c r="CV6" s="1" t="inlineStr">
        <is>
          <t>Y-A6全美直送专线</t>
        </is>
      </c>
      <c r="CX6" s="1" t="inlineStr">
        <is>
          <t>Y-A4SAV</t>
        </is>
      </c>
      <c r="CZ6" s="1" t="inlineStr">
        <is>
          <t>Y琦速达纽约</t>
        </is>
      </c>
      <c r="DA6" s="1" t="inlineStr">
        <is>
          <t>Y-纽约快速达</t>
        </is>
      </c>
      <c r="DB6" s="1" t="inlineStr">
        <is>
          <t>Y-A6全美直送专线</t>
        </is>
      </c>
      <c r="DD6" s="1" t="inlineStr">
        <is>
          <t>Y-K14芝加哥专线</t>
        </is>
      </c>
      <c r="DH6" s="1" t="inlineStr">
        <is>
          <t>Y-A6全美直送专线</t>
        </is>
      </c>
      <c r="DJ6" s="1" t="inlineStr">
        <is>
          <t>Y-快速达</t>
        </is>
      </c>
      <c r="DO6" s="1" t="inlineStr">
        <is>
          <t>Y琦速达纽约</t>
        </is>
      </c>
      <c r="DP6" s="1" t="inlineStr">
        <is>
          <t>Y-快速达</t>
        </is>
      </c>
      <c r="DQ6" s="1" t="inlineStr">
        <is>
          <t>Y-快速达</t>
        </is>
      </c>
      <c r="DR6" s="1" t="inlineStr">
        <is>
          <t>Y-A6全美直送专线</t>
        </is>
      </c>
      <c r="DS6" s="1" t="inlineStr">
        <is>
          <t>Y-琦速达</t>
        </is>
      </c>
      <c r="DT6" s="1" t="inlineStr">
        <is>
          <t>Y-奥克兰快船</t>
        </is>
      </c>
      <c r="DU6" s="1" t="inlineStr">
        <is>
          <t>Y-A4SAV</t>
        </is>
      </c>
      <c r="DV6" s="1" t="inlineStr">
        <is>
          <t>Y-琦速达</t>
        </is>
      </c>
      <c r="DX6" s="1" t="inlineStr">
        <is>
          <t>Y-快速达</t>
        </is>
      </c>
      <c r="DY6" s="1" t="inlineStr">
        <is>
          <t>Y-纽约快速达</t>
        </is>
      </c>
      <c r="EC6" s="1" t="inlineStr">
        <is>
          <t>Y-A6全美直送专线</t>
        </is>
      </c>
      <c r="EE6" s="1" t="inlineStr">
        <is>
          <t>Y-琦速达</t>
        </is>
      </c>
      <c r="EG6" s="1" t="inlineStr">
        <is>
          <t>Y-A6全美直送专线</t>
        </is>
      </c>
      <c r="EH6" s="1" t="inlineStr">
        <is>
          <t>Y-A6全美直送专线</t>
        </is>
      </c>
      <c r="EK6" s="1" t="inlineStr">
        <is>
          <t>Y-A6全美直送专线</t>
        </is>
      </c>
      <c r="EL6" s="1" t="inlineStr">
        <is>
          <t>Y-琦速达</t>
        </is>
      </c>
      <c r="EQ6" s="1" t="inlineStr">
        <is>
          <t>Y琦速达纽约</t>
        </is>
      </c>
      <c r="ER6" s="1" t="inlineStr">
        <is>
          <t>Y-快速达</t>
        </is>
      </c>
      <c r="ES6" s="1" t="inlineStr">
        <is>
          <t>Y-奥克兰快船</t>
        </is>
      </c>
      <c r="ET6" s="1" t="inlineStr">
        <is>
          <t>Y-奥克兰快船</t>
        </is>
      </c>
      <c r="EU6" s="1" t="inlineStr">
        <is>
          <t>Y琦速达纽约</t>
        </is>
      </c>
      <c r="EV6" s="1" t="inlineStr">
        <is>
          <t>Y琦速达纽约</t>
        </is>
      </c>
      <c r="EW6" s="1" t="inlineStr">
        <is>
          <t>Y琦速达纽约</t>
        </is>
      </c>
      <c r="EX6" s="1" t="inlineStr">
        <is>
          <t>Y-A6全美直送专线</t>
        </is>
      </c>
      <c r="EZ6" s="1" t="inlineStr">
        <is>
          <t>Y-纽约快速达</t>
        </is>
      </c>
      <c r="FA6" s="1" t="inlineStr">
        <is>
          <t>Y-纽约快速达</t>
        </is>
      </c>
      <c r="FB6" s="1" t="inlineStr">
        <is>
          <t>Y琦速达纽约</t>
        </is>
      </c>
      <c r="FC6" s="1" t="inlineStr">
        <is>
          <t>Y-快速达</t>
        </is>
      </c>
      <c r="FE6" s="1" t="inlineStr">
        <is>
          <t>Y琦速达纽约</t>
        </is>
      </c>
      <c r="FF6" s="1" t="inlineStr">
        <is>
          <t>Y琦速达纽约</t>
        </is>
      </c>
      <c r="FG6" s="1" t="inlineStr">
        <is>
          <t>Y-纽约快速达</t>
        </is>
      </c>
      <c r="FL6" s="1" t="inlineStr">
        <is>
          <t>Y琦速达纽约</t>
        </is>
      </c>
      <c r="FM6" s="1" t="inlineStr">
        <is>
          <t>Y-X3-海派</t>
        </is>
      </c>
      <c r="FN6" s="1" t="inlineStr">
        <is>
          <t>Y-X7-专线</t>
        </is>
      </c>
      <c r="FO6" s="1" t="inlineStr">
        <is>
          <t>Y-X7-专线</t>
        </is>
      </c>
      <c r="FP6" s="1" t="inlineStr">
        <is>
          <t>Y-X5-专线</t>
        </is>
      </c>
      <c r="FQ6" s="1" t="inlineStr">
        <is>
          <t>Y-X5-专线</t>
        </is>
      </c>
      <c r="FR6" s="1" t="inlineStr">
        <is>
          <t>Y-X3-海派</t>
        </is>
      </c>
      <c r="FS6" s="1" t="inlineStr">
        <is>
          <t>Y-X3-海派</t>
        </is>
      </c>
      <c r="FT6" s="1" t="inlineStr">
        <is>
          <t>Y-X3-海派</t>
        </is>
      </c>
      <c r="FU6" s="1" t="inlineStr">
        <is>
          <t>Y-X3-海派</t>
        </is>
      </c>
      <c r="FV6" s="1" t="inlineStr">
        <is>
          <t>Y-X3-海派</t>
        </is>
      </c>
      <c r="FW6" s="1" t="inlineStr">
        <is>
          <t>Y-X5-专线</t>
        </is>
      </c>
      <c r="FX6" s="1" t="inlineStr">
        <is>
          <t>Y-X5-专线</t>
        </is>
      </c>
      <c r="FY6" s="1" t="inlineStr">
        <is>
          <t>Y-X5-专线</t>
        </is>
      </c>
      <c r="FZ6" s="1" t="inlineStr">
        <is>
          <t>Y-X5-专线</t>
        </is>
      </c>
      <c r="GA6" s="1" t="inlineStr">
        <is>
          <t>Y-X3-海派</t>
        </is>
      </c>
      <c r="GB6" s="1" t="inlineStr">
        <is>
          <t>Y-X5-专线</t>
        </is>
      </c>
      <c r="GC6" s="1" t="inlineStr">
        <is>
          <t>Y-X5-专线</t>
        </is>
      </c>
      <c r="GD6" s="1" t="inlineStr">
        <is>
          <t>Y-X5-专线</t>
        </is>
      </c>
      <c r="GE6" s="1" t="inlineStr">
        <is>
          <t>Y-X5-专线</t>
        </is>
      </c>
      <c r="GF6" s="1" t="inlineStr">
        <is>
          <t>Y-X3-海派</t>
        </is>
      </c>
      <c r="GG6" s="1" t="inlineStr">
        <is>
          <t>Y-X3-海派</t>
        </is>
      </c>
      <c r="GH6" s="1" t="inlineStr">
        <is>
          <t>Y-X3-海派</t>
        </is>
      </c>
      <c r="GI6" s="1" t="inlineStr">
        <is>
          <t>Y-X3-海派</t>
        </is>
      </c>
      <c r="GJ6" s="1" t="inlineStr">
        <is>
          <t>Y-X3-海派</t>
        </is>
      </c>
      <c r="GK6" s="1" t="inlineStr">
        <is>
          <t>Y-X3-海派</t>
        </is>
      </c>
      <c r="GL6" s="1" t="inlineStr">
        <is>
          <t>Y-快速达</t>
        </is>
      </c>
      <c r="GM6" s="1" t="inlineStr">
        <is>
          <t>Y-X7-海派</t>
        </is>
      </c>
      <c r="GN6" s="1" t="inlineStr">
        <is>
          <t>Y-琦速达海派</t>
        </is>
      </c>
      <c r="GO6" s="1" t="inlineStr">
        <is>
          <t>Y-琦速达海派</t>
        </is>
      </c>
      <c r="GP6" s="1" t="inlineStr">
        <is>
          <t>Y-琦速达海派</t>
        </is>
      </c>
    </row>
    <row r="7">
      <c r="B7" s="1" t="inlineStr">
        <is>
          <t>AKR1</t>
        </is>
      </c>
      <c r="C7" s="1" t="inlineStr">
        <is>
          <t>AKR1</t>
        </is>
      </c>
      <c r="F7" s="1" t="inlineStr">
        <is>
          <t>义乌</t>
        </is>
      </c>
      <c r="G7" s="1" t="inlineStr">
        <is>
          <t>AKR1</t>
        </is>
      </c>
      <c r="H7" s="114" t="n">
        <v>10.38</v>
      </c>
      <c r="I7" s="1" t="inlineStr">
        <is>
          <t>Y-A4NY</t>
        </is>
      </c>
      <c r="J7" s="114" t="n">
        <v>0</v>
      </c>
      <c r="L7" s="1" t="inlineStr">
        <is>
          <t>Y-A4-专线</t>
        </is>
      </c>
      <c r="Q7" s="1" t="n"/>
      <c r="R7" s="1" t="n"/>
      <c r="U7" s="1" t="inlineStr">
        <is>
          <t>Y15纽约海卡</t>
        </is>
      </c>
      <c r="W7" s="1" t="inlineStr">
        <is>
          <t>Y-A6全美直送专线</t>
        </is>
      </c>
      <c r="Y7" s="1" t="inlineStr">
        <is>
          <t>Y15纽约海卡</t>
        </is>
      </c>
      <c r="Z7" s="1" t="inlineStr">
        <is>
          <t>Y15纽约海卡</t>
        </is>
      </c>
      <c r="AA7" s="1" t="inlineStr">
        <is>
          <t>Y15纽约海卡</t>
        </is>
      </c>
      <c r="AK7" s="1" t="inlineStr">
        <is>
          <t>Y-快速达</t>
        </is>
      </c>
      <c r="AO7" s="1" t="inlineStr">
        <is>
          <t>Y-快速达</t>
        </is>
      </c>
      <c r="AQ7" s="1" t="inlineStr">
        <is>
          <t>Y-快速达</t>
        </is>
      </c>
      <c r="AR7" s="1" t="inlineStr">
        <is>
          <t>Y-快速达</t>
        </is>
      </c>
      <c r="AS7" s="1" t="inlineStr">
        <is>
          <t>Y15纽约海卡</t>
        </is>
      </c>
      <c r="AT7" s="1" t="inlineStr">
        <is>
          <t>Y-快速达</t>
        </is>
      </c>
      <c r="AU7" s="1" t="inlineStr">
        <is>
          <t>Y-快速达</t>
        </is>
      </c>
      <c r="AZ7" s="1" t="inlineStr">
        <is>
          <t>Y-快速达</t>
        </is>
      </c>
      <c r="BF7" s="1" t="inlineStr">
        <is>
          <t>Y15纽约海卡</t>
        </is>
      </c>
      <c r="BG7" s="1" t="inlineStr">
        <is>
          <t>Y-快速达</t>
        </is>
      </c>
      <c r="BS7" s="1" t="inlineStr">
        <is>
          <t>Y-K14芝加哥专线</t>
        </is>
      </c>
      <c r="BW7" s="1" t="inlineStr">
        <is>
          <t>Y-快速达</t>
        </is>
      </c>
      <c r="BX7" s="1" t="inlineStr">
        <is>
          <t>Y15纽约海卡</t>
        </is>
      </c>
      <c r="CG7" s="1" t="inlineStr">
        <is>
          <t>Y-快速达</t>
        </is>
      </c>
      <c r="CI7" s="1" t="inlineStr">
        <is>
          <t>Y-SEND普船专线</t>
        </is>
      </c>
      <c r="CN7" s="1" t="inlineStr">
        <is>
          <t>Y-快速达</t>
        </is>
      </c>
      <c r="CS7" s="1" t="inlineStr">
        <is>
          <t>Y15纽约海卡</t>
        </is>
      </c>
      <c r="CV7" s="1" t="inlineStr">
        <is>
          <t>Y-K14芝加哥专线</t>
        </is>
      </c>
      <c r="CX7" s="1" t="inlineStr">
        <is>
          <t>Y-K16萨瓦纳海卡</t>
        </is>
      </c>
      <c r="DA7" s="1" t="inlineStr">
        <is>
          <t>Y15纽约海卡</t>
        </is>
      </c>
      <c r="DB7" s="1" t="inlineStr">
        <is>
          <t>Y-快速达</t>
        </is>
      </c>
      <c r="DD7" s="1" t="inlineStr">
        <is>
          <t>Y-快速达</t>
        </is>
      </c>
      <c r="DH7" s="1" t="inlineStr">
        <is>
          <t>Y-快速达</t>
        </is>
      </c>
      <c r="DJ7" s="1" t="inlineStr">
        <is>
          <t>Y-琦速达</t>
        </is>
      </c>
      <c r="DP7" s="1" t="inlineStr">
        <is>
          <t>Y-琦速达</t>
        </is>
      </c>
      <c r="DQ7" s="1" t="inlineStr">
        <is>
          <t>Y-琦速达</t>
        </is>
      </c>
      <c r="DR7" s="1" t="inlineStr">
        <is>
          <t>Y-快速达</t>
        </is>
      </c>
      <c r="DT7" s="1" t="inlineStr">
        <is>
          <t>Y-快速达</t>
        </is>
      </c>
      <c r="DU7" s="1" t="inlineStr">
        <is>
          <t>Y-K16萨瓦纳海卡</t>
        </is>
      </c>
      <c r="DV7" s="1" t="inlineStr">
        <is>
          <t>Y-琦速达芝加哥</t>
        </is>
      </c>
      <c r="DX7" s="1" t="inlineStr">
        <is>
          <t>Y-琦速达</t>
        </is>
      </c>
      <c r="DY7" s="1" t="inlineStr">
        <is>
          <t>Y15纽约海卡</t>
        </is>
      </c>
      <c r="EC7" s="1" t="inlineStr">
        <is>
          <t>Y-SEND普船专线</t>
        </is>
      </c>
      <c r="EG7" s="1" t="inlineStr">
        <is>
          <t>Y-奥克兰快船</t>
        </is>
      </c>
      <c r="EH7" s="1" t="inlineStr">
        <is>
          <t>Y-奥克兰快船</t>
        </is>
      </c>
      <c r="EK7" s="1" t="inlineStr">
        <is>
          <t>Y-SEND普船专线</t>
        </is>
      </c>
      <c r="ER7" s="1" t="inlineStr">
        <is>
          <t>Y-琦速达</t>
        </is>
      </c>
      <c r="ES7" s="1" t="inlineStr">
        <is>
          <t>Y-快速达</t>
        </is>
      </c>
      <c r="ET7" s="1" t="inlineStr">
        <is>
          <t>Y-快速达</t>
        </is>
      </c>
      <c r="EX7" s="1" t="inlineStr">
        <is>
          <t>Y-SEND普船专线</t>
        </is>
      </c>
      <c r="EZ7" s="1" t="inlineStr">
        <is>
          <t>Y15纽约海卡</t>
        </is>
      </c>
      <c r="FA7" s="1" t="inlineStr">
        <is>
          <t>Y15纽约海卡</t>
        </is>
      </c>
      <c r="FC7" s="1" t="inlineStr">
        <is>
          <t>Y-琦速达</t>
        </is>
      </c>
      <c r="FG7" s="1" t="inlineStr">
        <is>
          <t>Y15纽约海卡</t>
        </is>
      </c>
      <c r="FM7" s="1" t="inlineStr">
        <is>
          <t>Y-X5-专线</t>
        </is>
      </c>
      <c r="FP7" s="1" t="inlineStr">
        <is>
          <t>Y-X7-专线</t>
        </is>
      </c>
      <c r="FQ7" s="1" t="inlineStr">
        <is>
          <t>Y-X7-专线</t>
        </is>
      </c>
      <c r="FR7" s="1" t="inlineStr">
        <is>
          <t>Y-X5-专线</t>
        </is>
      </c>
      <c r="FS7" s="1" t="inlineStr">
        <is>
          <t>Y-X5-专线</t>
        </is>
      </c>
      <c r="FT7" s="1" t="inlineStr">
        <is>
          <t>Y-X5-专线</t>
        </is>
      </c>
      <c r="FU7" s="1" t="inlineStr">
        <is>
          <t>Y-X5-专线</t>
        </is>
      </c>
      <c r="FV7" s="1" t="inlineStr">
        <is>
          <t>Y-X5-专线</t>
        </is>
      </c>
      <c r="FW7" s="1" t="inlineStr">
        <is>
          <t>Y-X7-专线</t>
        </is>
      </c>
      <c r="FX7" s="1" t="inlineStr">
        <is>
          <t>Y-X7-专线</t>
        </is>
      </c>
      <c r="FY7" s="1" t="inlineStr">
        <is>
          <t>Y-X7-专线</t>
        </is>
      </c>
      <c r="FZ7" s="1" t="inlineStr">
        <is>
          <t>Y-X7-专线</t>
        </is>
      </c>
      <c r="GA7" s="1" t="inlineStr">
        <is>
          <t>Y-X5-专线</t>
        </is>
      </c>
      <c r="GB7" s="1" t="inlineStr">
        <is>
          <t>Y-X7-专线</t>
        </is>
      </c>
      <c r="GC7" s="1" t="inlineStr">
        <is>
          <t>Y-X7-专线</t>
        </is>
      </c>
      <c r="GD7" s="1" t="inlineStr">
        <is>
          <t>Y-X7-专线</t>
        </is>
      </c>
      <c r="GE7" s="1" t="inlineStr">
        <is>
          <t>Y-X7-专线</t>
        </is>
      </c>
      <c r="GF7" s="1" t="inlineStr">
        <is>
          <t>Y-X5-专线</t>
        </is>
      </c>
      <c r="GG7" s="1" t="inlineStr">
        <is>
          <t>Y-X5-专线</t>
        </is>
      </c>
      <c r="GH7" s="1" t="inlineStr">
        <is>
          <t>Y-X5-专线</t>
        </is>
      </c>
      <c r="GI7" s="1" t="inlineStr">
        <is>
          <t>Y-X5-专线</t>
        </is>
      </c>
      <c r="GJ7" s="1" t="inlineStr">
        <is>
          <t>Y-X5-专线</t>
        </is>
      </c>
      <c r="GK7" s="1" t="inlineStr">
        <is>
          <t>Y-X5-专线</t>
        </is>
      </c>
      <c r="GL7" s="1" t="inlineStr">
        <is>
          <t>Y-琦速达</t>
        </is>
      </c>
    </row>
    <row r="8">
      <c r="B8" s="1" t="inlineStr">
        <is>
          <t>ALB1</t>
        </is>
      </c>
      <c r="C8" s="1" t="inlineStr">
        <is>
          <t>ALB1</t>
        </is>
      </c>
      <c r="F8" s="1" t="inlineStr">
        <is>
          <t>义乌</t>
        </is>
      </c>
      <c r="G8" s="1" t="inlineStr">
        <is>
          <t>ALB1</t>
        </is>
      </c>
      <c r="H8" s="114" t="n">
        <v>9.98</v>
      </c>
      <c r="I8" s="1" t="inlineStr">
        <is>
          <t>Y-A4NY</t>
        </is>
      </c>
      <c r="J8" s="114" t="n">
        <v>0</v>
      </c>
      <c r="L8" s="1" t="inlineStr">
        <is>
          <t>Y-A4NY</t>
        </is>
      </c>
      <c r="Q8" s="1" t="n"/>
      <c r="R8" s="1" t="n"/>
      <c r="U8" s="1" t="inlineStr">
        <is>
          <t>Y琦速达纽约</t>
        </is>
      </c>
      <c r="W8" s="1" t="inlineStr">
        <is>
          <t>Y-K16萨瓦纳海卡</t>
        </is>
      </c>
      <c r="Y8" s="1" t="inlineStr">
        <is>
          <t>Y琦速达纽约</t>
        </is>
      </c>
      <c r="Z8" s="1" t="inlineStr">
        <is>
          <t>Y琦速达纽约</t>
        </is>
      </c>
      <c r="AA8" s="1" t="inlineStr">
        <is>
          <t>Y琦速达纽约</t>
        </is>
      </c>
      <c r="AK8" s="1" t="inlineStr">
        <is>
          <t>Y-琦速达</t>
        </is>
      </c>
      <c r="AO8" s="1" t="inlineStr">
        <is>
          <t>Y-琦速达</t>
        </is>
      </c>
      <c r="AQ8" s="1" t="inlineStr">
        <is>
          <t>Y-琦速达</t>
        </is>
      </c>
      <c r="AR8" s="1" t="inlineStr">
        <is>
          <t>Y-琦速达</t>
        </is>
      </c>
      <c r="AS8" s="1" t="inlineStr">
        <is>
          <t>Y琦速达纽约</t>
        </is>
      </c>
      <c r="AT8" s="1" t="inlineStr">
        <is>
          <t>Y-琦速达</t>
        </is>
      </c>
      <c r="AU8" s="1" t="inlineStr">
        <is>
          <t>Y-琦速达</t>
        </is>
      </c>
      <c r="AZ8" s="1" t="inlineStr">
        <is>
          <t>Y-琦速达</t>
        </is>
      </c>
      <c r="BF8" s="1" t="inlineStr">
        <is>
          <t>Y琦速达纽约</t>
        </is>
      </c>
      <c r="BG8" s="1" t="inlineStr">
        <is>
          <t>Y-琦速达</t>
        </is>
      </c>
      <c r="BS8" s="1" t="inlineStr">
        <is>
          <t>Y-快速达</t>
        </is>
      </c>
      <c r="BW8" s="1" t="inlineStr">
        <is>
          <t>Y-琦速达</t>
        </is>
      </c>
      <c r="BX8" s="1" t="inlineStr">
        <is>
          <t>Y琦速达纽约</t>
        </is>
      </c>
      <c r="CG8" s="1" t="inlineStr">
        <is>
          <t>Y-琦速达</t>
        </is>
      </c>
      <c r="CI8" s="1" t="inlineStr">
        <is>
          <t>Y-快速达</t>
        </is>
      </c>
      <c r="CN8" s="1" t="inlineStr">
        <is>
          <t>Y-琦速达</t>
        </is>
      </c>
      <c r="CS8" s="1" t="inlineStr">
        <is>
          <t>Y琦速达纽约</t>
        </is>
      </c>
      <c r="CV8" s="1" t="inlineStr">
        <is>
          <t>Y-快速达</t>
        </is>
      </c>
      <c r="CX8" s="1" t="inlineStr">
        <is>
          <t>Y-快速达</t>
        </is>
      </c>
      <c r="DA8" s="1" t="inlineStr">
        <is>
          <t>Y琦速达纽约</t>
        </is>
      </c>
      <c r="DB8" s="1" t="inlineStr">
        <is>
          <t>Y-琦速达</t>
        </is>
      </c>
      <c r="DD8" s="1" t="inlineStr">
        <is>
          <t>Y-琦速达</t>
        </is>
      </c>
      <c r="DH8" s="1" t="inlineStr">
        <is>
          <t>Y-琦速达</t>
        </is>
      </c>
      <c r="DJ8" s="1" t="inlineStr">
        <is>
          <t>Y-纽约快速达</t>
        </is>
      </c>
      <c r="DR8" s="1" t="inlineStr">
        <is>
          <t>Y-琦速达</t>
        </is>
      </c>
      <c r="DT8" s="1" t="inlineStr">
        <is>
          <t>Y-琦速达</t>
        </is>
      </c>
      <c r="DU8" s="1" t="inlineStr">
        <is>
          <t>Y-快速达</t>
        </is>
      </c>
      <c r="DX8" s="1" t="inlineStr">
        <is>
          <t>Y-纽约快速达</t>
        </is>
      </c>
      <c r="DY8" s="1" t="inlineStr">
        <is>
          <t>Y琦速达纽约</t>
        </is>
      </c>
      <c r="EC8" s="1" t="inlineStr">
        <is>
          <t>Y-快速达</t>
        </is>
      </c>
      <c r="EG8" s="1" t="inlineStr">
        <is>
          <t>Y-快速达</t>
        </is>
      </c>
      <c r="EH8" s="1" t="inlineStr">
        <is>
          <t>Y-快速达</t>
        </is>
      </c>
      <c r="EK8" s="1" t="inlineStr">
        <is>
          <t>Y-奥克兰快船</t>
        </is>
      </c>
      <c r="ER8" s="1" t="inlineStr">
        <is>
          <t>Y-纽约快速达</t>
        </is>
      </c>
      <c r="ES8" s="1" t="inlineStr">
        <is>
          <t>Y-琦速达</t>
        </is>
      </c>
      <c r="ET8" s="1" t="inlineStr">
        <is>
          <t>Y-琦速达</t>
        </is>
      </c>
      <c r="EX8" s="1" t="inlineStr">
        <is>
          <t>Y-快速达</t>
        </is>
      </c>
      <c r="EZ8" s="1" t="inlineStr">
        <is>
          <t>Y琦速达纽约</t>
        </is>
      </c>
      <c r="FA8" s="1" t="inlineStr">
        <is>
          <t>Y琦速达纽约</t>
        </is>
      </c>
      <c r="FG8" s="1" t="inlineStr">
        <is>
          <t>Y琦速达纽约</t>
        </is>
      </c>
      <c r="FM8" s="1" t="inlineStr">
        <is>
          <t>Y-X7-专线</t>
        </is>
      </c>
      <c r="FP8" s="1" t="inlineStr">
        <is>
          <t>Y-X7-海派</t>
        </is>
      </c>
      <c r="FQ8" s="1" t="inlineStr">
        <is>
          <t>Y-X7-海派</t>
        </is>
      </c>
      <c r="FR8" s="1" t="inlineStr">
        <is>
          <t>Y-X7-专线</t>
        </is>
      </c>
      <c r="FS8" s="1" t="inlineStr">
        <is>
          <t>Y-X7-专线</t>
        </is>
      </c>
      <c r="FT8" s="1" t="inlineStr">
        <is>
          <t>Y-X7-专线</t>
        </is>
      </c>
      <c r="FU8" s="1" t="inlineStr">
        <is>
          <t>Y-X7-专线</t>
        </is>
      </c>
      <c r="FV8" s="1" t="inlineStr">
        <is>
          <t>Y-X7-专线</t>
        </is>
      </c>
      <c r="FW8" s="1" t="inlineStr">
        <is>
          <t>Y-X7-海派</t>
        </is>
      </c>
      <c r="FX8" s="1" t="inlineStr">
        <is>
          <t>Y-X7-海派</t>
        </is>
      </c>
      <c r="FY8" s="1" t="inlineStr">
        <is>
          <t>Y-X7-海派</t>
        </is>
      </c>
      <c r="FZ8" s="1" t="inlineStr">
        <is>
          <t>Y-X7-海派</t>
        </is>
      </c>
      <c r="GA8" s="1" t="inlineStr">
        <is>
          <t>Y-X7-专线</t>
        </is>
      </c>
      <c r="GB8" s="1" t="inlineStr">
        <is>
          <t>Y-X7-海派</t>
        </is>
      </c>
      <c r="GC8" s="1" t="inlineStr">
        <is>
          <t>Y-X7-海派</t>
        </is>
      </c>
      <c r="GD8" s="1" t="inlineStr">
        <is>
          <t>Y-X7-海派</t>
        </is>
      </c>
      <c r="GE8" s="1" t="inlineStr">
        <is>
          <t>Y-X7-海派</t>
        </is>
      </c>
      <c r="GF8" s="1" t="inlineStr">
        <is>
          <t>Y-X7-专线</t>
        </is>
      </c>
      <c r="GG8" s="1" t="inlineStr">
        <is>
          <t>Y-X7-专线</t>
        </is>
      </c>
      <c r="GH8" s="1" t="inlineStr">
        <is>
          <t>Y-X7-专线</t>
        </is>
      </c>
      <c r="GI8" s="1" t="inlineStr">
        <is>
          <t>Y-X7-专线</t>
        </is>
      </c>
      <c r="GJ8" s="1" t="inlineStr">
        <is>
          <t>Y-X7-专线</t>
        </is>
      </c>
      <c r="GK8" s="1" t="inlineStr">
        <is>
          <t>Y-X7-专线</t>
        </is>
      </c>
    </row>
    <row r="9">
      <c r="B9" s="1" t="inlineStr">
        <is>
          <t>AVP1</t>
        </is>
      </c>
      <c r="C9" s="1" t="inlineStr">
        <is>
          <t>AVP1</t>
        </is>
      </c>
      <c r="F9" s="1" t="inlineStr">
        <is>
          <t>义乌</t>
        </is>
      </c>
      <c r="G9" s="1" t="inlineStr">
        <is>
          <t>AVP1</t>
        </is>
      </c>
      <c r="H9" s="114" t="n">
        <v>9.68</v>
      </c>
      <c r="I9" s="1" t="inlineStr">
        <is>
          <t>Y-A4NY</t>
        </is>
      </c>
      <c r="J9" s="114" t="n">
        <v>0</v>
      </c>
      <c r="L9" s="1" t="inlineStr">
        <is>
          <t>Y-A4SAV</t>
        </is>
      </c>
      <c r="W9" s="1" t="inlineStr">
        <is>
          <t>Y-SEND普船专线</t>
        </is>
      </c>
      <c r="AO9" s="1" t="inlineStr">
        <is>
          <t>Y-琦速达芝加哥</t>
        </is>
      </c>
      <c r="BS9" s="1" t="inlineStr">
        <is>
          <t>Y-琦速达</t>
        </is>
      </c>
      <c r="CI9" s="1" t="inlineStr">
        <is>
          <t>Y-琦速达</t>
        </is>
      </c>
      <c r="CV9" s="1" t="inlineStr">
        <is>
          <t>Y-琦速达</t>
        </is>
      </c>
      <c r="CX9" s="1" t="inlineStr">
        <is>
          <t>Y-琦速达</t>
        </is>
      </c>
      <c r="DD9" s="1" t="inlineStr">
        <is>
          <t>Y-琦速达芝加哥</t>
        </is>
      </c>
      <c r="DJ9" s="1" t="inlineStr">
        <is>
          <t>Y15纽约海卡</t>
        </is>
      </c>
      <c r="DU9" s="1" t="inlineStr">
        <is>
          <t>Y-琦速达</t>
        </is>
      </c>
      <c r="DX9" s="1" t="inlineStr">
        <is>
          <t>Y15纽约海卡</t>
        </is>
      </c>
      <c r="EC9" s="1" t="inlineStr">
        <is>
          <t>Y-琦速达</t>
        </is>
      </c>
      <c r="EG9" s="1" t="inlineStr">
        <is>
          <t>Y-琦速达</t>
        </is>
      </c>
      <c r="EH9" s="1" t="inlineStr">
        <is>
          <t>Y-琦速达</t>
        </is>
      </c>
      <c r="EK9" s="1" t="inlineStr">
        <is>
          <t>Y-快速达</t>
        </is>
      </c>
      <c r="ER9" s="1" t="inlineStr">
        <is>
          <t>Y15纽约海卡</t>
        </is>
      </c>
      <c r="EX9" s="1" t="inlineStr">
        <is>
          <t>Y-琦速达</t>
        </is>
      </c>
      <c r="FM9" s="1" t="inlineStr">
        <is>
          <t>Y-X7-海派</t>
        </is>
      </c>
      <c r="FR9" s="1" t="inlineStr">
        <is>
          <t>Y-X7-海派</t>
        </is>
      </c>
      <c r="FS9" s="1" t="inlineStr">
        <is>
          <t>Y-X7-海派</t>
        </is>
      </c>
      <c r="FT9" s="1" t="inlineStr">
        <is>
          <t>Y-X7-海派</t>
        </is>
      </c>
      <c r="FU9" s="1" t="inlineStr">
        <is>
          <t>Y-X7-海派</t>
        </is>
      </c>
      <c r="FV9" s="1" t="inlineStr">
        <is>
          <t>Y-X7-海派</t>
        </is>
      </c>
      <c r="GA9" s="1" t="inlineStr">
        <is>
          <t>Y-X7-海派</t>
        </is>
      </c>
      <c r="GF9" s="1" t="inlineStr">
        <is>
          <t>Y-X7-海派</t>
        </is>
      </c>
      <c r="GG9" s="1" t="inlineStr">
        <is>
          <t>Y-X7-海派</t>
        </is>
      </c>
      <c r="GH9" s="1" t="inlineStr">
        <is>
          <t>Y-X7-海派</t>
        </is>
      </c>
      <c r="GI9" s="1" t="inlineStr">
        <is>
          <t>Y-X7-海派</t>
        </is>
      </c>
      <c r="GJ9" s="1" t="inlineStr">
        <is>
          <t>Y-X7-海派</t>
        </is>
      </c>
      <c r="GK9" s="1" t="inlineStr">
        <is>
          <t>Y-X7-海派</t>
        </is>
      </c>
    </row>
    <row r="10">
      <c r="B10" s="1" t="inlineStr">
        <is>
          <t>AVP9</t>
        </is>
      </c>
      <c r="C10" s="1" t="inlineStr">
        <is>
          <t>AVP9</t>
        </is>
      </c>
      <c r="F10" s="1" t="inlineStr">
        <is>
          <t>义乌</t>
        </is>
      </c>
      <c r="G10" s="1" t="inlineStr">
        <is>
          <t>AVP9</t>
        </is>
      </c>
      <c r="H10" s="114" t="n">
        <v>9.68</v>
      </c>
      <c r="I10" s="1" t="inlineStr">
        <is>
          <t>Y-A4NY</t>
        </is>
      </c>
      <c r="J10" s="114" t="n">
        <v>0</v>
      </c>
      <c r="L10" s="1" t="inlineStr">
        <is>
          <t>Y-A6全美直送专线</t>
        </is>
      </c>
      <c r="W10" s="1" t="inlineStr">
        <is>
          <t>Y-快速达</t>
        </is>
      </c>
      <c r="BS10" s="1" t="inlineStr">
        <is>
          <t>Y-琦速达芝加哥</t>
        </is>
      </c>
      <c r="CV10" s="1" t="inlineStr">
        <is>
          <t>Y-琦速达芝加哥</t>
        </is>
      </c>
      <c r="DJ10" s="1" t="inlineStr">
        <is>
          <t>Y琦速达纽约</t>
        </is>
      </c>
      <c r="DU10" s="1" t="inlineStr">
        <is>
          <t>Y-纽约快速达</t>
        </is>
      </c>
      <c r="DX10" s="1" t="inlineStr">
        <is>
          <t>Y琦速达纽约</t>
        </is>
      </c>
      <c r="EK10" s="1" t="inlineStr">
        <is>
          <t>Y-琦速达</t>
        </is>
      </c>
      <c r="ER10" s="1" t="inlineStr">
        <is>
          <t>Y琦速达纽约</t>
        </is>
      </c>
      <c r="EX10" s="1" t="inlineStr">
        <is>
          <t>Y-纽约快速达</t>
        </is>
      </c>
    </row>
    <row r="11">
      <c r="B11" s="1" t="inlineStr">
        <is>
          <t>BDL6</t>
        </is>
      </c>
      <c r="C11" s="1" t="inlineStr">
        <is>
          <t>BDL6</t>
        </is>
      </c>
      <c r="F11" s="1" t="inlineStr">
        <is>
          <t>义乌</t>
        </is>
      </c>
      <c r="G11" s="1" t="inlineStr">
        <is>
          <t>BDL6</t>
        </is>
      </c>
      <c r="H11" s="114" t="n">
        <v>10.18</v>
      </c>
      <c r="I11" s="1" t="inlineStr">
        <is>
          <t>Y-A4NY</t>
        </is>
      </c>
      <c r="J11" s="114" t="n">
        <v>0</v>
      </c>
      <c r="L11" s="1" t="inlineStr">
        <is>
          <t>Y-K13美中专线</t>
        </is>
      </c>
      <c r="W11" s="1" t="inlineStr">
        <is>
          <t>Y-琦速达</t>
        </is>
      </c>
      <c r="DU11" s="1" t="inlineStr">
        <is>
          <t>Y15纽约海卡</t>
        </is>
      </c>
      <c r="EX11" s="1" t="inlineStr">
        <is>
          <t>Y15纽约海卡</t>
        </is>
      </c>
    </row>
    <row r="12">
      <c r="B12" s="1" t="inlineStr">
        <is>
          <t>BFI3</t>
        </is>
      </c>
      <c r="C12" s="1" t="inlineStr">
        <is>
          <t>BJC1</t>
        </is>
      </c>
      <c r="F12" s="1" t="inlineStr">
        <is>
          <t>义乌</t>
        </is>
      </c>
      <c r="G12" s="1" t="inlineStr">
        <is>
          <t>BFI3</t>
        </is>
      </c>
      <c r="H12" s="114" t="n">
        <v>10.98</v>
      </c>
      <c r="I12" s="1" t="inlineStr">
        <is>
          <t>Y-奥克兰快船</t>
        </is>
      </c>
      <c r="J12" s="114" t="n">
        <v>0</v>
      </c>
      <c r="L12" s="1" t="inlineStr">
        <is>
          <t>Y-K14芝加哥专线</t>
        </is>
      </c>
      <c r="W12" s="1" t="inlineStr">
        <is>
          <t>Y-纽约快速达</t>
        </is>
      </c>
      <c r="DU12" s="1" t="inlineStr">
        <is>
          <t>Y琦速达纽约</t>
        </is>
      </c>
      <c r="EX12" s="1" t="inlineStr">
        <is>
          <t>Y琦速达纽约</t>
        </is>
      </c>
    </row>
    <row r="13">
      <c r="B13" s="1" t="inlineStr">
        <is>
          <t>BJC1</t>
        </is>
      </c>
      <c r="C13" s="1" t="inlineStr">
        <is>
          <t>BNA2</t>
        </is>
      </c>
      <c r="F13" s="1" t="inlineStr">
        <is>
          <t>义乌</t>
        </is>
      </c>
      <c r="G13" s="1" t="inlineStr">
        <is>
          <t>BJC1</t>
        </is>
      </c>
      <c r="H13" s="114" t="n">
        <v>11.78</v>
      </c>
      <c r="I13" s="1" t="inlineStr">
        <is>
          <t>Y-A4-专线</t>
        </is>
      </c>
      <c r="J13" s="114" t="n">
        <v>0</v>
      </c>
      <c r="L13" s="1" t="inlineStr">
        <is>
          <t>Y-K16萨瓦纳海卡</t>
        </is>
      </c>
      <c r="W13" s="1" t="inlineStr">
        <is>
          <t>Y15纽约海卡</t>
        </is>
      </c>
    </row>
    <row r="14">
      <c r="B14" s="1" t="inlineStr">
        <is>
          <t>BNA2</t>
        </is>
      </c>
      <c r="C14" s="1" t="inlineStr">
        <is>
          <t>BNA6</t>
        </is>
      </c>
      <c r="F14" s="1" t="inlineStr">
        <is>
          <t>义乌</t>
        </is>
      </c>
      <c r="G14" s="1" t="inlineStr">
        <is>
          <t>BNA2</t>
        </is>
      </c>
      <c r="H14" s="114" t="n">
        <v>10.28</v>
      </c>
      <c r="I14" s="1" t="inlineStr">
        <is>
          <t>Y-A4SAV</t>
        </is>
      </c>
      <c r="J14" s="114" t="n">
        <v>0</v>
      </c>
      <c r="L14" s="1" t="inlineStr">
        <is>
          <t>Y-SEND普船专线</t>
        </is>
      </c>
      <c r="W14" s="1" t="inlineStr">
        <is>
          <t>Y琦速达纽约</t>
        </is>
      </c>
    </row>
    <row r="15">
      <c r="B15" s="1" t="inlineStr">
        <is>
          <t>BNA6</t>
        </is>
      </c>
      <c r="C15" s="1" t="inlineStr">
        <is>
          <t>BOS7</t>
        </is>
      </c>
      <c r="F15" s="1" t="inlineStr">
        <is>
          <t>义乌</t>
        </is>
      </c>
      <c r="G15" s="1" t="inlineStr">
        <is>
          <t>BNA6</t>
        </is>
      </c>
      <c r="H15" s="114" t="n">
        <v>10.28</v>
      </c>
      <c r="I15" s="1" t="inlineStr">
        <is>
          <t>Y-A4SAV</t>
        </is>
      </c>
      <c r="J15" s="114" t="n">
        <v>0</v>
      </c>
      <c r="L15" s="1" t="inlineStr">
        <is>
          <t>Y-X1-专线(卡尔加里)</t>
        </is>
      </c>
    </row>
    <row r="16">
      <c r="B16" s="1" t="inlineStr">
        <is>
          <t>BOS7</t>
        </is>
      </c>
      <c r="C16" s="1" t="inlineStr">
        <is>
          <t>BWI4</t>
        </is>
      </c>
      <c r="F16" s="1" t="inlineStr">
        <is>
          <t>义乌</t>
        </is>
      </c>
      <c r="G16" s="1" t="inlineStr">
        <is>
          <t>BOS7</t>
        </is>
      </c>
      <c r="H16" s="114" t="n">
        <v>10.18</v>
      </c>
      <c r="I16" s="1" t="inlineStr">
        <is>
          <t>Y-A4NY</t>
        </is>
      </c>
      <c r="J16" s="114" t="n">
        <v>0</v>
      </c>
      <c r="L16" s="1" t="inlineStr">
        <is>
          <t>Y-X1-专线(多伦多)</t>
        </is>
      </c>
    </row>
    <row r="17">
      <c r="B17" s="1" t="inlineStr">
        <is>
          <t>BWI4</t>
        </is>
      </c>
      <c r="C17" s="1" t="inlineStr">
        <is>
          <t>CHA2</t>
        </is>
      </c>
      <c r="F17" s="1" t="inlineStr">
        <is>
          <t>义乌</t>
        </is>
      </c>
      <c r="G17" s="1" t="inlineStr">
        <is>
          <t>BWI4</t>
        </is>
      </c>
      <c r="H17" s="114" t="n">
        <v>10.18</v>
      </c>
      <c r="I17" s="1" t="inlineStr">
        <is>
          <t>Y-A4NY</t>
        </is>
      </c>
      <c r="J17" s="114" t="n">
        <v>0</v>
      </c>
      <c r="L17" s="1" t="inlineStr">
        <is>
          <t>Y-X1-专线(温哥华)</t>
        </is>
      </c>
    </row>
    <row r="18">
      <c r="B18" s="1" t="inlineStr">
        <is>
          <t>CHA2</t>
        </is>
      </c>
      <c r="C18" s="1" t="inlineStr">
        <is>
          <t>CHO1</t>
        </is>
      </c>
      <c r="F18" s="1" t="inlineStr">
        <is>
          <t>义乌</t>
        </is>
      </c>
      <c r="G18" s="1" t="inlineStr">
        <is>
          <t>CHA2</t>
        </is>
      </c>
      <c r="H18" s="114" t="n">
        <v>10.48</v>
      </c>
      <c r="I18" s="1" t="inlineStr">
        <is>
          <t>Y-A4SAV</t>
        </is>
      </c>
      <c r="J18" s="114" t="n">
        <v>0</v>
      </c>
      <c r="L18" s="1" t="inlineStr">
        <is>
          <t>Y-X1-专线(温尼伯)</t>
        </is>
      </c>
    </row>
    <row r="19">
      <c r="B19" s="1" t="inlineStr">
        <is>
          <t>CHO1</t>
        </is>
      </c>
      <c r="C19" s="1" t="inlineStr">
        <is>
          <t>CLT2</t>
        </is>
      </c>
      <c r="F19" s="1" t="inlineStr">
        <is>
          <t>义乌</t>
        </is>
      </c>
      <c r="G19" s="1" t="inlineStr">
        <is>
          <t>CHO1</t>
        </is>
      </c>
      <c r="H19" s="114" t="n">
        <v>10.18</v>
      </c>
      <c r="I19" s="1" t="inlineStr">
        <is>
          <t>Y-A4NY</t>
        </is>
      </c>
      <c r="J19" s="114" t="n">
        <v>0</v>
      </c>
      <c r="L19" s="1" t="inlineStr">
        <is>
          <t>Y-X1-多伦多海派</t>
        </is>
      </c>
    </row>
    <row r="20">
      <c r="B20" s="1" t="inlineStr">
        <is>
          <t>CLT2</t>
        </is>
      </c>
      <c r="C20" s="1" t="inlineStr">
        <is>
          <t>CLT6</t>
        </is>
      </c>
      <c r="F20" s="1" t="inlineStr">
        <is>
          <t>义乌</t>
        </is>
      </c>
      <c r="G20" s="1" t="inlineStr">
        <is>
          <t>CLT2</t>
        </is>
      </c>
      <c r="H20" s="114" t="n">
        <v>9.48</v>
      </c>
      <c r="I20" s="1" t="inlineStr">
        <is>
          <t>Y-SEND普船专线</t>
        </is>
      </c>
      <c r="J20" s="114" t="n">
        <v>0</v>
      </c>
      <c r="L20" s="1" t="inlineStr">
        <is>
          <t>Y-X3-专线</t>
        </is>
      </c>
    </row>
    <row r="21">
      <c r="B21" s="1" t="inlineStr">
        <is>
          <t>CLT3</t>
        </is>
      </c>
      <c r="C21" s="1" t="inlineStr">
        <is>
          <t>CMH2</t>
        </is>
      </c>
      <c r="F21" s="1" t="inlineStr">
        <is>
          <t>义乌</t>
        </is>
      </c>
      <c r="G21" s="1" t="inlineStr">
        <is>
          <t>CLT3</t>
        </is>
      </c>
      <c r="H21" s="114" t="n">
        <v>9.880000000000001</v>
      </c>
      <c r="I21" s="1" t="inlineStr">
        <is>
          <t>Y-A4SAV</t>
        </is>
      </c>
      <c r="J21" s="114" t="n">
        <v>0</v>
      </c>
      <c r="L21" s="1" t="inlineStr">
        <is>
          <t>Y-X3-海派</t>
        </is>
      </c>
    </row>
    <row r="22">
      <c r="B22" s="1" t="inlineStr">
        <is>
          <t>CLT6</t>
        </is>
      </c>
      <c r="C22" s="1" t="inlineStr">
        <is>
          <t>CMH3</t>
        </is>
      </c>
      <c r="F22" s="1" t="inlineStr">
        <is>
          <t>义乌</t>
        </is>
      </c>
      <c r="G22" s="1" t="inlineStr">
        <is>
          <t>CLT6</t>
        </is>
      </c>
      <c r="H22" s="114" t="n">
        <v>9.880000000000001</v>
      </c>
      <c r="I22" s="1" t="inlineStr">
        <is>
          <t>Y-A4SAV</t>
        </is>
      </c>
      <c r="J22" s="114" t="n">
        <v>0</v>
      </c>
      <c r="L22" s="1" t="inlineStr">
        <is>
          <t>Y-X5-专线</t>
        </is>
      </c>
    </row>
    <row r="23">
      <c r="B23" s="1" t="inlineStr">
        <is>
          <t>CMH2</t>
        </is>
      </c>
      <c r="C23" s="1" t="inlineStr">
        <is>
          <t>DCA6</t>
        </is>
      </c>
      <c r="F23" s="1" t="inlineStr">
        <is>
          <t>义乌</t>
        </is>
      </c>
      <c r="G23" s="1" t="inlineStr">
        <is>
          <t>CMH2</t>
        </is>
      </c>
      <c r="H23" s="114" t="n">
        <v>10.58</v>
      </c>
      <c r="I23" s="1" t="inlineStr">
        <is>
          <t>Y-A4NY</t>
        </is>
      </c>
      <c r="J23" s="114" t="n">
        <v>0</v>
      </c>
      <c r="L23" s="1" t="inlineStr">
        <is>
          <t>Y-X7-专线</t>
        </is>
      </c>
    </row>
    <row r="24">
      <c r="B24" s="1" t="inlineStr">
        <is>
          <t>CMH3</t>
        </is>
      </c>
      <c r="C24" s="1" t="inlineStr">
        <is>
          <t>DEN8</t>
        </is>
      </c>
      <c r="F24" s="1" t="inlineStr">
        <is>
          <t>义乌</t>
        </is>
      </c>
      <c r="G24" s="1" t="inlineStr">
        <is>
          <t>CMH3</t>
        </is>
      </c>
      <c r="H24" s="114" t="n">
        <v>10.58</v>
      </c>
      <c r="I24" s="1" t="inlineStr">
        <is>
          <t>Y-A4NY</t>
        </is>
      </c>
      <c r="J24" s="114" t="n">
        <v>0</v>
      </c>
      <c r="L24" s="1" t="inlineStr">
        <is>
          <t>Y-X7-海派</t>
        </is>
      </c>
    </row>
    <row r="25">
      <c r="B25" s="1" t="inlineStr">
        <is>
          <t>DAL3</t>
        </is>
      </c>
      <c r="C25" s="1" t="inlineStr">
        <is>
          <t>FAT2</t>
        </is>
      </c>
      <c r="F25" s="1" t="inlineStr">
        <is>
          <t>义乌</t>
        </is>
      </c>
      <c r="G25" s="1" t="inlineStr">
        <is>
          <t>DAL3</t>
        </is>
      </c>
      <c r="H25" s="114" t="n">
        <v>10.18</v>
      </c>
      <c r="I25" s="1" t="inlineStr">
        <is>
          <t>Y-K13美中专线</t>
        </is>
      </c>
      <c r="J25" s="114" t="n">
        <v>0</v>
      </c>
      <c r="L25" s="1" t="inlineStr">
        <is>
          <t>Y-奥克兰快船</t>
        </is>
      </c>
    </row>
    <row r="26">
      <c r="B26" s="1" t="inlineStr">
        <is>
          <t>DCA6</t>
        </is>
      </c>
      <c r="C26" s="1" t="inlineStr">
        <is>
          <t>FTW1</t>
        </is>
      </c>
      <c r="F26" s="1" t="inlineStr">
        <is>
          <t>义乌</t>
        </is>
      </c>
      <c r="G26" s="1" t="inlineStr">
        <is>
          <t>DCA6</t>
        </is>
      </c>
      <c r="H26" s="114" t="n">
        <v>9.880000000000001</v>
      </c>
      <c r="I26" s="1" t="inlineStr">
        <is>
          <t>Y-A4NY</t>
        </is>
      </c>
      <c r="J26" s="114" t="n">
        <v>0</v>
      </c>
      <c r="L26" s="1" t="inlineStr">
        <is>
          <t>Y-快速达</t>
        </is>
      </c>
    </row>
    <row r="27">
      <c r="B27" s="1" t="inlineStr">
        <is>
          <t>DEN8</t>
        </is>
      </c>
      <c r="C27" s="1" t="inlineStr">
        <is>
          <t>FWA4</t>
        </is>
      </c>
      <c r="F27" s="1" t="inlineStr">
        <is>
          <t>义乌</t>
        </is>
      </c>
      <c r="G27" s="1" t="inlineStr">
        <is>
          <t>DEN8</t>
        </is>
      </c>
      <c r="H27" s="114" t="n">
        <v>12.38</v>
      </c>
      <c r="I27" s="1" t="inlineStr">
        <is>
          <t>Y-718专线</t>
        </is>
      </c>
      <c r="J27" s="114" t="n">
        <v>0</v>
      </c>
      <c r="L27" s="1" t="inlineStr">
        <is>
          <t>Y-快速达海派</t>
        </is>
      </c>
    </row>
    <row r="28">
      <c r="B28" s="1" t="inlineStr">
        <is>
          <t>DET1</t>
        </is>
      </c>
      <c r="C28" s="1" t="inlineStr">
        <is>
          <t>GEG2</t>
        </is>
      </c>
      <c r="F28" s="1" t="inlineStr">
        <is>
          <t>义乌</t>
        </is>
      </c>
      <c r="G28" s="1" t="inlineStr">
        <is>
          <t>DET1</t>
        </is>
      </c>
      <c r="H28" s="114" t="n">
        <v>11.08</v>
      </c>
      <c r="I28" s="1" t="inlineStr">
        <is>
          <t>Y-K14芝加哥专线</t>
        </is>
      </c>
      <c r="J28" s="114" t="n">
        <v>0</v>
      </c>
      <c r="L28" s="1" t="inlineStr">
        <is>
          <t>Y-琦速达</t>
        </is>
      </c>
    </row>
    <row r="29">
      <c r="B29" s="1" t="inlineStr">
        <is>
          <t>DET2</t>
        </is>
      </c>
      <c r="C29" s="1" t="inlineStr">
        <is>
          <t>GEU2</t>
        </is>
      </c>
      <c r="F29" s="1" t="inlineStr">
        <is>
          <t>义乌</t>
        </is>
      </c>
      <c r="G29" s="1" t="inlineStr">
        <is>
          <t>DET2</t>
        </is>
      </c>
      <c r="H29" s="114" t="n">
        <v>11.08</v>
      </c>
      <c r="I29" s="1" t="inlineStr">
        <is>
          <t>Y-K14芝加哥专线</t>
        </is>
      </c>
      <c r="J29" s="114" t="n">
        <v>0</v>
      </c>
      <c r="L29" s="1" t="inlineStr">
        <is>
          <t>Y-琦速达海派</t>
        </is>
      </c>
    </row>
    <row r="30">
      <c r="B30" s="1" t="inlineStr">
        <is>
          <t>DFW6</t>
        </is>
      </c>
      <c r="C30" s="1" t="inlineStr">
        <is>
          <t>GEU3</t>
        </is>
      </c>
      <c r="F30" s="1" t="inlineStr">
        <is>
          <t>义乌</t>
        </is>
      </c>
      <c r="G30" s="1" t="inlineStr">
        <is>
          <t>DFW6</t>
        </is>
      </c>
      <c r="H30" s="114" t="n">
        <v>10.08</v>
      </c>
      <c r="I30" s="1" t="inlineStr">
        <is>
          <t>Y-K13美中专线</t>
        </is>
      </c>
      <c r="J30" s="114" t="n">
        <v>0</v>
      </c>
      <c r="L30" s="1" t="inlineStr">
        <is>
          <t>Y-琦速达芝加哥</t>
        </is>
      </c>
    </row>
    <row r="31">
      <c r="B31" s="1" t="inlineStr">
        <is>
          <t>DFW7</t>
        </is>
      </c>
      <c r="C31" s="1" t="inlineStr">
        <is>
          <t>GSO1</t>
        </is>
      </c>
      <c r="F31" s="1" t="inlineStr">
        <is>
          <t>义乌</t>
        </is>
      </c>
      <c r="G31" s="1" t="inlineStr">
        <is>
          <t>DFW7</t>
        </is>
      </c>
      <c r="H31" s="114" t="n">
        <v>10.18</v>
      </c>
      <c r="I31" s="1" t="inlineStr">
        <is>
          <t>Y-K13美中专线</t>
        </is>
      </c>
      <c r="J31" s="114" t="n">
        <v>0</v>
      </c>
      <c r="L31" s="1" t="inlineStr">
        <is>
          <t>Y-纽约快速达</t>
        </is>
      </c>
    </row>
    <row r="32">
      <c r="B32" s="1" t="inlineStr">
        <is>
          <t>FAT2</t>
        </is>
      </c>
      <c r="C32" s="1" t="inlineStr">
        <is>
          <t>GYR2</t>
        </is>
      </c>
      <c r="F32" s="1" t="inlineStr">
        <is>
          <t>义乌</t>
        </is>
      </c>
      <c r="G32" s="1" t="inlineStr">
        <is>
          <t>FAT2</t>
        </is>
      </c>
      <c r="H32" s="114" t="n">
        <v>9.58</v>
      </c>
      <c r="I32" s="1" t="inlineStr">
        <is>
          <t>Y-718专线</t>
        </is>
      </c>
      <c r="J32" s="114" t="n">
        <v>0</v>
      </c>
      <c r="L32" s="1" t="inlineStr">
        <is>
          <t>Y15纽约海卡</t>
        </is>
      </c>
    </row>
    <row r="33">
      <c r="B33" s="1" t="inlineStr">
        <is>
          <t>FOE1</t>
        </is>
      </c>
      <c r="C33" s="1" t="inlineStr">
        <is>
          <t>GYR3</t>
        </is>
      </c>
      <c r="F33" s="1" t="inlineStr">
        <is>
          <t>义乌</t>
        </is>
      </c>
      <c r="G33" s="1" t="inlineStr">
        <is>
          <t>FOE1</t>
        </is>
      </c>
      <c r="H33" s="114" t="n">
        <v>11.18</v>
      </c>
      <c r="I33" s="1" t="inlineStr">
        <is>
          <t>Y-K13美中专线</t>
        </is>
      </c>
      <c r="J33" s="114" t="n">
        <v>0</v>
      </c>
      <c r="L33" s="1" t="inlineStr">
        <is>
          <t>Y琦速达纽约</t>
        </is>
      </c>
    </row>
    <row r="34">
      <c r="B34" s="1" t="inlineStr">
        <is>
          <t>FTW1</t>
        </is>
      </c>
      <c r="C34" s="1" t="inlineStr">
        <is>
          <t>HEA2</t>
        </is>
      </c>
      <c r="F34" s="1" t="inlineStr">
        <is>
          <t>义乌</t>
        </is>
      </c>
      <c r="G34" s="1" t="inlineStr">
        <is>
          <t>FTW1</t>
        </is>
      </c>
      <c r="H34" s="114" t="n">
        <v>9.68</v>
      </c>
      <c r="I34" s="1" t="inlineStr">
        <is>
          <t>Y-A6全美直送专线</t>
        </is>
      </c>
      <c r="J34" s="114" t="n">
        <v>0</v>
      </c>
    </row>
    <row r="35">
      <c r="B35" s="1" t="inlineStr">
        <is>
          <t>FTW2</t>
        </is>
      </c>
      <c r="C35" s="1" t="inlineStr">
        <is>
          <t>HGR2</t>
        </is>
      </c>
      <c r="F35" s="1" t="inlineStr">
        <is>
          <t>义乌</t>
        </is>
      </c>
      <c r="G35" s="1" t="inlineStr">
        <is>
          <t>FTW2</t>
        </is>
      </c>
      <c r="H35" s="114" t="n">
        <v>10.18</v>
      </c>
      <c r="I35" s="1" t="inlineStr">
        <is>
          <t>Y-K13美中专线</t>
        </is>
      </c>
      <c r="J35" s="114" t="n">
        <v>0</v>
      </c>
    </row>
    <row r="36">
      <c r="B36" s="1" t="inlineStr">
        <is>
          <t>FTW5</t>
        </is>
      </c>
      <c r="C36" s="1" t="inlineStr">
        <is>
          <t>HGR6</t>
        </is>
      </c>
      <c r="F36" s="1" t="inlineStr">
        <is>
          <t>义乌</t>
        </is>
      </c>
      <c r="G36" s="1" t="inlineStr">
        <is>
          <t>FTW5</t>
        </is>
      </c>
      <c r="H36" s="114" t="n">
        <v>10.08</v>
      </c>
      <c r="I36" s="1" t="inlineStr">
        <is>
          <t>Y-K13美中专线</t>
        </is>
      </c>
      <c r="J36" s="114" t="n">
        <v>0</v>
      </c>
    </row>
    <row r="37">
      <c r="B37" s="1" t="inlineStr">
        <is>
          <t>FTW9</t>
        </is>
      </c>
      <c r="C37" s="1" t="inlineStr">
        <is>
          <t>HIA1</t>
        </is>
      </c>
      <c r="F37" s="1" t="inlineStr">
        <is>
          <t>义乌</t>
        </is>
      </c>
      <c r="G37" s="1" t="inlineStr">
        <is>
          <t>FTW9</t>
        </is>
      </c>
      <c r="H37" s="114" t="n">
        <v>10.18</v>
      </c>
      <c r="I37" s="1" t="inlineStr">
        <is>
          <t>Y-K13美中专线</t>
        </is>
      </c>
      <c r="J37" s="114" t="n">
        <v>0</v>
      </c>
    </row>
    <row r="38">
      <c r="B38" s="1" t="inlineStr">
        <is>
          <t>FWA4</t>
        </is>
      </c>
      <c r="C38" s="1" t="inlineStr">
        <is>
          <t>HLI2</t>
        </is>
      </c>
      <c r="F38" s="1" t="inlineStr">
        <is>
          <t>义乌</t>
        </is>
      </c>
      <c r="G38" s="1" t="inlineStr">
        <is>
          <t>FWA4</t>
        </is>
      </c>
      <c r="H38" s="114" t="n">
        <v>10.78</v>
      </c>
      <c r="I38" s="1" t="inlineStr">
        <is>
          <t>Y-K14芝加哥专线</t>
        </is>
      </c>
      <c r="J38" s="114" t="n">
        <v>0</v>
      </c>
    </row>
    <row r="39">
      <c r="B39" s="1" t="inlineStr">
        <is>
          <t>GEG2</t>
        </is>
      </c>
      <c r="C39" s="1" t="inlineStr">
        <is>
          <t>HSV1</t>
        </is>
      </c>
      <c r="F39" s="1" t="inlineStr">
        <is>
          <t>义乌</t>
        </is>
      </c>
      <c r="G39" s="1" t="inlineStr">
        <is>
          <t>GEG2</t>
        </is>
      </c>
      <c r="H39" s="114" t="n">
        <v>10.88</v>
      </c>
      <c r="I39" s="1" t="inlineStr">
        <is>
          <t>Y-奥克兰快船</t>
        </is>
      </c>
      <c r="J39" s="114" t="n">
        <v>0</v>
      </c>
    </row>
    <row r="40">
      <c r="B40" s="1" t="inlineStr">
        <is>
          <t>GEU2</t>
        </is>
      </c>
      <c r="C40" s="1" t="inlineStr">
        <is>
          <t>IAH3</t>
        </is>
      </c>
      <c r="F40" s="1" t="inlineStr">
        <is>
          <t>义乌</t>
        </is>
      </c>
      <c r="G40" s="1" t="inlineStr">
        <is>
          <t>GEU2</t>
        </is>
      </c>
      <c r="H40" s="114" t="n">
        <v>9.08</v>
      </c>
      <c r="I40" s="1" t="inlineStr">
        <is>
          <t>Y-A4-专线</t>
        </is>
      </c>
      <c r="J40" s="114" t="n">
        <v>0</v>
      </c>
    </row>
    <row r="41">
      <c r="B41" s="1" t="inlineStr">
        <is>
          <t>GEU3</t>
        </is>
      </c>
      <c r="C41" s="1" t="inlineStr">
        <is>
          <t>IAZ1</t>
        </is>
      </c>
      <c r="F41" s="1" t="inlineStr">
        <is>
          <t>义乌</t>
        </is>
      </c>
      <c r="G41" s="1" t="inlineStr">
        <is>
          <t>GEU3</t>
        </is>
      </c>
      <c r="H41" s="114" t="n">
        <v>9.08</v>
      </c>
      <c r="I41" s="1" t="inlineStr">
        <is>
          <t>Y-A4-专线</t>
        </is>
      </c>
      <c r="J41" s="114" t="n">
        <v>0</v>
      </c>
    </row>
    <row r="42">
      <c r="B42" s="1" t="inlineStr">
        <is>
          <t>GSO1</t>
        </is>
      </c>
      <c r="C42" s="1" t="inlineStr">
        <is>
          <t>ILG1</t>
        </is>
      </c>
      <c r="F42" s="1" t="inlineStr">
        <is>
          <t>义乌</t>
        </is>
      </c>
      <c r="G42" s="1" t="inlineStr">
        <is>
          <t>GSO1</t>
        </is>
      </c>
      <c r="H42" s="114" t="n">
        <v>9.880000000000001</v>
      </c>
      <c r="I42" s="1" t="inlineStr">
        <is>
          <t>Y-A4SAV</t>
        </is>
      </c>
      <c r="J42" s="114" t="n">
        <v>0</v>
      </c>
    </row>
    <row r="43">
      <c r="B43" s="1" t="inlineStr">
        <is>
          <t>GYR2</t>
        </is>
      </c>
      <c r="C43" s="1" t="inlineStr">
        <is>
          <t>IND9</t>
        </is>
      </c>
      <c r="F43" s="1" t="inlineStr">
        <is>
          <t>义乌</t>
        </is>
      </c>
      <c r="G43" s="1" t="inlineStr">
        <is>
          <t>GYR2</t>
        </is>
      </c>
      <c r="H43" s="114" t="n">
        <v>9.08</v>
      </c>
      <c r="I43" s="1" t="inlineStr">
        <is>
          <t>Y-A4-专线</t>
        </is>
      </c>
      <c r="J43" s="114" t="n">
        <v>0</v>
      </c>
    </row>
    <row r="44">
      <c r="B44" s="1" t="inlineStr">
        <is>
          <t>GYR3</t>
        </is>
      </c>
      <c r="C44" s="1" t="inlineStr">
        <is>
          <t>IPA1</t>
        </is>
      </c>
      <c r="F44" s="1" t="inlineStr">
        <is>
          <t>义乌</t>
        </is>
      </c>
      <c r="G44" s="1" t="inlineStr">
        <is>
          <t>GYR3</t>
        </is>
      </c>
      <c r="H44" s="114" t="n">
        <v>9.08</v>
      </c>
      <c r="I44" s="1" t="inlineStr">
        <is>
          <t>Y-A4-专线</t>
        </is>
      </c>
      <c r="J44" s="114" t="n">
        <v>0</v>
      </c>
    </row>
    <row r="45">
      <c r="B45" s="1" t="inlineStr">
        <is>
          <t>HEA2</t>
        </is>
      </c>
      <c r="C45" s="1" t="inlineStr">
        <is>
          <t>ITX3</t>
        </is>
      </c>
      <c r="F45" s="1" t="inlineStr">
        <is>
          <t>义乌</t>
        </is>
      </c>
      <c r="G45" s="1" t="inlineStr">
        <is>
          <t>HEA2</t>
        </is>
      </c>
      <c r="H45" s="114" t="n">
        <v>9.58</v>
      </c>
      <c r="I45" s="1" t="inlineStr">
        <is>
          <t>Y-A4NY</t>
        </is>
      </c>
      <c r="J45" s="114" t="n">
        <v>0</v>
      </c>
    </row>
    <row r="46">
      <c r="B46" s="1" t="inlineStr">
        <is>
          <t>HGR2</t>
        </is>
      </c>
      <c r="C46" s="1" t="inlineStr">
        <is>
          <t>IUSJ</t>
        </is>
      </c>
      <c r="F46" s="1" t="inlineStr">
        <is>
          <t>义乌</t>
        </is>
      </c>
      <c r="G46" s="1" t="inlineStr">
        <is>
          <t>HGR2</t>
        </is>
      </c>
      <c r="H46" s="114" t="n">
        <v>10.08</v>
      </c>
      <c r="I46" s="1" t="inlineStr">
        <is>
          <t>Y-A4NY</t>
        </is>
      </c>
      <c r="J46" s="114" t="n">
        <v>0</v>
      </c>
    </row>
    <row r="47">
      <c r="B47" s="1" t="inlineStr">
        <is>
          <t>HGR6</t>
        </is>
      </c>
      <c r="C47" s="1" t="inlineStr">
        <is>
          <t>IUSP</t>
        </is>
      </c>
      <c r="F47" s="1" t="inlineStr">
        <is>
          <t>义乌</t>
        </is>
      </c>
      <c r="G47" s="1" t="inlineStr">
        <is>
          <t>HGR6</t>
        </is>
      </c>
      <c r="H47" s="114" t="n">
        <v>10.08</v>
      </c>
      <c r="I47" s="1" t="inlineStr">
        <is>
          <t>Y-A4NY</t>
        </is>
      </c>
      <c r="J47" s="114" t="n">
        <v>0</v>
      </c>
    </row>
    <row r="48">
      <c r="B48" s="1" t="inlineStr">
        <is>
          <t>HIA1</t>
        </is>
      </c>
      <c r="C48" s="1" t="inlineStr">
        <is>
          <t>IUSR</t>
        </is>
      </c>
      <c r="F48" s="1" t="inlineStr">
        <is>
          <t>义乌</t>
        </is>
      </c>
      <c r="G48" s="1" t="inlineStr">
        <is>
          <t>HIA1</t>
        </is>
      </c>
      <c r="H48" s="114" t="n">
        <v>9.98</v>
      </c>
      <c r="I48" s="1" t="inlineStr">
        <is>
          <t>Y-A4NY</t>
        </is>
      </c>
      <c r="J48" s="114" t="n">
        <v>0</v>
      </c>
    </row>
    <row r="49">
      <c r="B49" s="1" t="inlineStr">
        <is>
          <t>HLI2</t>
        </is>
      </c>
      <c r="C49" s="1" t="inlineStr">
        <is>
          <t>IUST</t>
        </is>
      </c>
      <c r="F49" s="1" t="inlineStr">
        <is>
          <t>义乌</t>
        </is>
      </c>
      <c r="G49" s="1" t="inlineStr">
        <is>
          <t>HLI2</t>
        </is>
      </c>
      <c r="H49" s="114" t="n">
        <v>9.18</v>
      </c>
      <c r="I49" s="1" t="inlineStr">
        <is>
          <t>Y-奥克兰快船</t>
        </is>
      </c>
      <c r="J49" s="114" t="n">
        <v>0</v>
      </c>
    </row>
    <row r="50">
      <c r="B50" s="1" t="inlineStr">
        <is>
          <t>HOU1</t>
        </is>
      </c>
      <c r="C50" s="1" t="inlineStr">
        <is>
          <t>IUTE</t>
        </is>
      </c>
      <c r="F50" s="1" t="inlineStr">
        <is>
          <t>义乌</t>
        </is>
      </c>
      <c r="G50" s="1" t="inlineStr">
        <is>
          <t>HOU1</t>
        </is>
      </c>
      <c r="H50" s="114" t="n">
        <v>9.48</v>
      </c>
      <c r="I50" s="1" t="inlineStr">
        <is>
          <t>Y-K13美中专线</t>
        </is>
      </c>
      <c r="J50" s="114" t="n">
        <v>0</v>
      </c>
    </row>
    <row r="51">
      <c r="B51" s="1" t="inlineStr">
        <is>
          <t>HOU2</t>
        </is>
      </c>
      <c r="C51" s="1" t="inlineStr">
        <is>
          <t>IUTJ</t>
        </is>
      </c>
      <c r="F51" s="1" t="inlineStr">
        <is>
          <t>义乌</t>
        </is>
      </c>
      <c r="G51" s="1" t="inlineStr">
        <is>
          <t>HOU2</t>
        </is>
      </c>
      <c r="H51" s="114" t="n">
        <v>9.48</v>
      </c>
      <c r="I51" s="1" t="inlineStr">
        <is>
          <t>Y-K13美中专线</t>
        </is>
      </c>
      <c r="J51" s="114" t="n">
        <v>0</v>
      </c>
    </row>
    <row r="52">
      <c r="B52" s="1" t="inlineStr">
        <is>
          <t>HOU3</t>
        </is>
      </c>
      <c r="C52" s="1" t="inlineStr">
        <is>
          <t>IUTL</t>
        </is>
      </c>
      <c r="F52" s="1" t="inlineStr">
        <is>
          <t>义乌</t>
        </is>
      </c>
      <c r="G52" s="1" t="inlineStr">
        <is>
          <t>HOU3</t>
        </is>
      </c>
      <c r="H52" s="114" t="n">
        <v>9.48</v>
      </c>
      <c r="I52" s="1" t="inlineStr">
        <is>
          <t>Y-K13美中专线</t>
        </is>
      </c>
      <c r="J52" s="114" t="n">
        <v>0</v>
      </c>
    </row>
    <row r="53">
      <c r="B53" s="1" t="inlineStr">
        <is>
          <t>HOU7</t>
        </is>
      </c>
      <c r="C53" s="1" t="inlineStr">
        <is>
          <t>LAS1</t>
        </is>
      </c>
      <c r="F53" s="1" t="inlineStr">
        <is>
          <t>义乌</t>
        </is>
      </c>
      <c r="G53" s="1" t="inlineStr">
        <is>
          <t>HOU7</t>
        </is>
      </c>
      <c r="H53" s="114" t="n">
        <v>9.48</v>
      </c>
      <c r="I53" s="1" t="inlineStr">
        <is>
          <t>Y-K13美中专线</t>
        </is>
      </c>
      <c r="J53" s="114" t="n">
        <v>0</v>
      </c>
    </row>
    <row r="54">
      <c r="B54" s="1" t="inlineStr">
        <is>
          <t>HOU8</t>
        </is>
      </c>
      <c r="C54" s="1" t="inlineStr">
        <is>
          <t>LAS6</t>
        </is>
      </c>
      <c r="F54" s="1" t="inlineStr">
        <is>
          <t>义乌</t>
        </is>
      </c>
      <c r="G54" s="1" t="inlineStr">
        <is>
          <t>HOU8</t>
        </is>
      </c>
      <c r="H54" s="114" t="n">
        <v>9.48</v>
      </c>
      <c r="I54" s="1" t="inlineStr">
        <is>
          <t>Y-K13美中专线</t>
        </is>
      </c>
      <c r="J54" s="114" t="n">
        <v>0</v>
      </c>
    </row>
    <row r="55">
      <c r="B55" s="1" t="inlineStr">
        <is>
          <t>HSV1</t>
        </is>
      </c>
      <c r="C55" s="1" t="inlineStr">
        <is>
          <t>LAX9</t>
        </is>
      </c>
      <c r="F55" s="1" t="inlineStr">
        <is>
          <t>义乌</t>
        </is>
      </c>
      <c r="G55" s="1" t="inlineStr">
        <is>
          <t>HSV1</t>
        </is>
      </c>
      <c r="H55" s="114" t="n">
        <v>10.48</v>
      </c>
      <c r="I55" s="1" t="inlineStr">
        <is>
          <t>Y-A4SAV</t>
        </is>
      </c>
      <c r="J55" s="114" t="n">
        <v>0</v>
      </c>
    </row>
    <row r="56">
      <c r="B56" s="1" t="inlineStr">
        <is>
          <t>IAH3</t>
        </is>
      </c>
      <c r="C56" s="1" t="inlineStr">
        <is>
          <t>LBE1</t>
        </is>
      </c>
      <c r="F56" s="1" t="inlineStr">
        <is>
          <t>义乌</t>
        </is>
      </c>
      <c r="G56" s="1" t="inlineStr">
        <is>
          <t>IAH3</t>
        </is>
      </c>
      <c r="H56" s="114" t="n">
        <v>9.279999999999999</v>
      </c>
      <c r="I56" s="1" t="inlineStr">
        <is>
          <t>Y-A6全美直送专线</t>
        </is>
      </c>
      <c r="J56" s="114" t="n">
        <v>0</v>
      </c>
    </row>
    <row r="57">
      <c r="B57" s="1" t="inlineStr">
        <is>
          <t>IAZ1</t>
        </is>
      </c>
      <c r="C57" s="1" t="inlineStr">
        <is>
          <t>LGB4</t>
        </is>
      </c>
      <c r="F57" s="1" t="inlineStr">
        <is>
          <t>义乌</t>
        </is>
      </c>
      <c r="G57" s="1" t="inlineStr">
        <is>
          <t>IAZ1</t>
        </is>
      </c>
      <c r="H57" s="114" t="n">
        <v>10.08</v>
      </c>
      <c r="I57" s="1" t="inlineStr">
        <is>
          <t>Y-718专线</t>
        </is>
      </c>
      <c r="J57" s="114" t="n">
        <v>0</v>
      </c>
    </row>
    <row r="58">
      <c r="B58" s="1" t="inlineStr">
        <is>
          <t>ICA3</t>
        </is>
      </c>
      <c r="C58" s="1" t="inlineStr">
        <is>
          <t>LGB6</t>
        </is>
      </c>
      <c r="F58" s="1" t="inlineStr">
        <is>
          <t>义乌</t>
        </is>
      </c>
      <c r="G58" s="1" t="inlineStr">
        <is>
          <t>ICA3</t>
        </is>
      </c>
      <c r="H58" s="114" t="n">
        <v>8.98</v>
      </c>
      <c r="I58" s="1" t="inlineStr">
        <is>
          <t>Y-奥克兰快船</t>
        </is>
      </c>
      <c r="J58" s="114" t="n">
        <v>0</v>
      </c>
    </row>
    <row r="59">
      <c r="B59" s="1" t="inlineStr">
        <is>
          <t>ICT2</t>
        </is>
      </c>
      <c r="C59" s="1" t="inlineStr">
        <is>
          <t>LGB8</t>
        </is>
      </c>
      <c r="F59" s="1" t="inlineStr">
        <is>
          <t>义乌</t>
        </is>
      </c>
      <c r="G59" s="1" t="inlineStr">
        <is>
          <t>ICT2</t>
        </is>
      </c>
      <c r="H59" s="114" t="n">
        <v>10.78</v>
      </c>
      <c r="I59" s="1" t="inlineStr">
        <is>
          <t>Y-K13美中专线</t>
        </is>
      </c>
      <c r="J59" s="114" t="n">
        <v>0</v>
      </c>
    </row>
    <row r="60">
      <c r="B60" s="1" t="inlineStr">
        <is>
          <t>IGA3</t>
        </is>
      </c>
      <c r="C60" s="1" t="inlineStr">
        <is>
          <t>MCC1</t>
        </is>
      </c>
      <c r="F60" s="1" t="inlineStr">
        <is>
          <t>义乌</t>
        </is>
      </c>
      <c r="G60" s="1" t="inlineStr">
        <is>
          <t>IGA3</t>
        </is>
      </c>
      <c r="H60" s="114" t="n">
        <v>10.28</v>
      </c>
      <c r="I60" s="1" t="inlineStr">
        <is>
          <t>Y-A4SAV</t>
        </is>
      </c>
      <c r="J60" s="114" t="n">
        <v>0</v>
      </c>
    </row>
    <row r="61">
      <c r="B61" s="1" t="inlineStr">
        <is>
          <t>IGQ2</t>
        </is>
      </c>
      <c r="C61" s="1" t="inlineStr">
        <is>
          <t>MCE1</t>
        </is>
      </c>
      <c r="F61" s="1" t="inlineStr">
        <is>
          <t>义乌</t>
        </is>
      </c>
      <c r="G61" s="1" t="inlineStr">
        <is>
          <t>IGQ2</t>
        </is>
      </c>
      <c r="H61" s="114" t="n">
        <v>10.28</v>
      </c>
      <c r="I61" s="1" t="inlineStr">
        <is>
          <t>Y-K14芝加哥专线</t>
        </is>
      </c>
      <c r="J61" s="114" t="n">
        <v>0</v>
      </c>
    </row>
    <row r="62">
      <c r="B62" s="1" t="inlineStr">
        <is>
          <t>ILG1</t>
        </is>
      </c>
      <c r="C62" s="1" t="inlineStr">
        <is>
          <t>MCO2</t>
        </is>
      </c>
      <c r="F62" s="1" t="inlineStr">
        <is>
          <t>义乌</t>
        </is>
      </c>
      <c r="G62" s="1" t="inlineStr">
        <is>
          <t>ILG1</t>
        </is>
      </c>
      <c r="H62" s="114" t="n">
        <v>9.880000000000001</v>
      </c>
      <c r="I62" s="1" t="inlineStr">
        <is>
          <t>Y-A4NY</t>
        </is>
      </c>
      <c r="J62" s="114" t="n">
        <v>0</v>
      </c>
    </row>
    <row r="63">
      <c r="B63" s="1" t="inlineStr">
        <is>
          <t>IMI1</t>
        </is>
      </c>
      <c r="C63" s="1" t="inlineStr">
        <is>
          <t>MDT1</t>
        </is>
      </c>
      <c r="F63" s="1" t="inlineStr">
        <is>
          <t>义乌</t>
        </is>
      </c>
      <c r="G63" s="1" t="inlineStr">
        <is>
          <t>IMI1</t>
        </is>
      </c>
      <c r="H63" s="114" t="n">
        <v>11.18</v>
      </c>
      <c r="I63" s="1" t="inlineStr">
        <is>
          <t>Y-K14芝加哥专线</t>
        </is>
      </c>
      <c r="J63" s="114" t="n">
        <v>0</v>
      </c>
    </row>
    <row r="64">
      <c r="B64" s="1" t="inlineStr">
        <is>
          <t>IMO1</t>
        </is>
      </c>
      <c r="C64" s="1" t="inlineStr">
        <is>
          <t>MDT4</t>
        </is>
      </c>
      <c r="F64" s="1" t="inlineStr">
        <is>
          <t>义乌</t>
        </is>
      </c>
      <c r="G64" s="1" t="inlineStr">
        <is>
          <t>IMO1</t>
        </is>
      </c>
      <c r="H64" s="114" t="n">
        <v>11.48</v>
      </c>
      <c r="I64" s="1" t="inlineStr">
        <is>
          <t>Y-K14芝加哥专线</t>
        </is>
      </c>
      <c r="J64" s="114" t="n">
        <v>0</v>
      </c>
    </row>
    <row r="65">
      <c r="B65" s="1" t="inlineStr">
        <is>
          <t>IMS1</t>
        </is>
      </c>
      <c r="C65" s="1" t="inlineStr">
        <is>
          <t>MDW2</t>
        </is>
      </c>
      <c r="F65" s="1" t="inlineStr">
        <is>
          <t>义乌</t>
        </is>
      </c>
      <c r="G65" s="1" t="inlineStr">
        <is>
          <t>IMS1</t>
        </is>
      </c>
      <c r="H65" s="114" t="n">
        <v>10.28</v>
      </c>
      <c r="I65" s="1" t="inlineStr">
        <is>
          <t>Y-A4SAV</t>
        </is>
      </c>
      <c r="J65" s="114" t="n">
        <v>0</v>
      </c>
    </row>
    <row r="66">
      <c r="B66" s="1" t="inlineStr">
        <is>
          <t>INC1</t>
        </is>
      </c>
      <c r="C66" s="1" t="inlineStr">
        <is>
          <t>MEM1</t>
        </is>
      </c>
      <c r="F66" s="1" t="inlineStr">
        <is>
          <t>义乌</t>
        </is>
      </c>
      <c r="G66" s="1" t="inlineStr">
        <is>
          <t>INC1</t>
        </is>
      </c>
      <c r="H66" s="114" t="n">
        <v>10.28</v>
      </c>
      <c r="I66" s="1" t="inlineStr">
        <is>
          <t>Y-A4SAV</t>
        </is>
      </c>
      <c r="J66" s="114" t="n">
        <v>0</v>
      </c>
    </row>
    <row r="67">
      <c r="B67" s="1" t="inlineStr">
        <is>
          <t>IND5</t>
        </is>
      </c>
      <c r="C67" s="1" t="inlineStr">
        <is>
          <t>MGE1</t>
        </is>
      </c>
      <c r="F67" s="1" t="inlineStr">
        <is>
          <t>义乌</t>
        </is>
      </c>
      <c r="G67" s="1" t="inlineStr">
        <is>
          <t>IND5</t>
        </is>
      </c>
      <c r="H67" s="114" t="n">
        <v>10.78</v>
      </c>
      <c r="I67" s="1" t="inlineStr">
        <is>
          <t>Y-K14芝加哥专线</t>
        </is>
      </c>
      <c r="J67" s="114" t="n">
        <v>0</v>
      </c>
    </row>
    <row r="68">
      <c r="B68" s="1" t="inlineStr">
        <is>
          <t>IND9</t>
        </is>
      </c>
      <c r="C68" s="1" t="inlineStr">
        <is>
          <t>MGE3</t>
        </is>
      </c>
      <c r="F68" s="1" t="inlineStr">
        <is>
          <t>义乌</t>
        </is>
      </c>
      <c r="G68" s="1" t="inlineStr">
        <is>
          <t>IND9</t>
        </is>
      </c>
      <c r="H68" s="114" t="n">
        <v>9.58</v>
      </c>
      <c r="I68" s="1" t="inlineStr">
        <is>
          <t>Y-A6全美直送专线</t>
        </is>
      </c>
      <c r="J68" s="114" t="n">
        <v>0</v>
      </c>
    </row>
    <row r="69">
      <c r="B69" s="1" t="inlineStr">
        <is>
          <t>IPA1</t>
        </is>
      </c>
      <c r="C69" s="1" t="inlineStr">
        <is>
          <t>MIT2</t>
        </is>
      </c>
      <c r="F69" s="1" t="inlineStr">
        <is>
          <t>义乌</t>
        </is>
      </c>
      <c r="G69" s="1" t="inlineStr">
        <is>
          <t>IPA1</t>
        </is>
      </c>
      <c r="H69" s="114" t="n">
        <v>9.58</v>
      </c>
      <c r="I69" s="1" t="inlineStr">
        <is>
          <t>Y-A4NY</t>
        </is>
      </c>
      <c r="J69" s="114" t="n">
        <v>0</v>
      </c>
    </row>
    <row r="70">
      <c r="B70" s="1" t="inlineStr">
        <is>
          <t>ITX3</t>
        </is>
      </c>
      <c r="C70" s="1" t="inlineStr">
        <is>
          <t>MQJ1</t>
        </is>
      </c>
      <c r="F70" s="1" t="inlineStr">
        <is>
          <t>义乌</t>
        </is>
      </c>
      <c r="G70" s="1" t="inlineStr">
        <is>
          <t>ITX3</t>
        </is>
      </c>
      <c r="H70" s="114" t="n">
        <v>12.28</v>
      </c>
      <c r="I70" s="1" t="inlineStr">
        <is>
          <t>Y-718专线</t>
        </is>
      </c>
      <c r="J70" s="114" t="n">
        <v>0</v>
      </c>
    </row>
    <row r="71">
      <c r="B71" s="1" t="inlineStr">
        <is>
          <t>IUSJ</t>
        </is>
      </c>
      <c r="C71" s="1" t="inlineStr">
        <is>
          <t>OAK3</t>
        </is>
      </c>
      <c r="F71" s="1" t="inlineStr">
        <is>
          <t>义乌</t>
        </is>
      </c>
      <c r="G71" s="1" t="inlineStr">
        <is>
          <t>IUSJ</t>
        </is>
      </c>
      <c r="H71" s="114" t="n">
        <v>8.58</v>
      </c>
      <c r="I71" s="1" t="inlineStr">
        <is>
          <t>Y-A4-专线</t>
        </is>
      </c>
      <c r="J71" s="114" t="n">
        <v>0</v>
      </c>
    </row>
    <row r="72">
      <c r="B72" s="1" t="inlineStr">
        <is>
          <t>IUSP</t>
        </is>
      </c>
      <c r="C72" s="1" t="inlineStr">
        <is>
          <t>ONT8</t>
        </is>
      </c>
      <c r="F72" s="1" t="inlineStr">
        <is>
          <t>义乌</t>
        </is>
      </c>
      <c r="G72" s="1" t="inlineStr">
        <is>
          <t>IUSP</t>
        </is>
      </c>
      <c r="H72" s="114" t="n">
        <v>8.58</v>
      </c>
      <c r="I72" s="1" t="inlineStr">
        <is>
          <t>Y-A4-专线</t>
        </is>
      </c>
      <c r="J72" s="114" t="n">
        <v>0</v>
      </c>
    </row>
    <row r="73">
      <c r="B73" s="1" t="inlineStr">
        <is>
          <t>IUSR</t>
        </is>
      </c>
      <c r="C73" s="1" t="inlineStr">
        <is>
          <t>ORF2</t>
        </is>
      </c>
      <c r="F73" s="1" t="inlineStr">
        <is>
          <t>义乌</t>
        </is>
      </c>
      <c r="G73" s="1" t="inlineStr">
        <is>
          <t>IUSR</t>
        </is>
      </c>
      <c r="H73" s="114" t="n">
        <v>10.08</v>
      </c>
      <c r="I73" s="1" t="inlineStr">
        <is>
          <t>Y-A4SAV</t>
        </is>
      </c>
      <c r="J73" s="114" t="n">
        <v>0</v>
      </c>
    </row>
    <row r="74">
      <c r="B74" s="1" t="inlineStr">
        <is>
          <t>IUST</t>
        </is>
      </c>
      <c r="C74" s="1" t="inlineStr">
        <is>
          <t>PDX7</t>
        </is>
      </c>
      <c r="F74" s="1" t="inlineStr">
        <is>
          <t>义乌</t>
        </is>
      </c>
      <c r="G74" s="1" t="inlineStr">
        <is>
          <t>IUST</t>
        </is>
      </c>
      <c r="H74" s="114" t="n">
        <v>10.28</v>
      </c>
      <c r="I74" s="1" t="inlineStr">
        <is>
          <t>Y-A4NY</t>
        </is>
      </c>
      <c r="J74" s="114" t="n">
        <v>0</v>
      </c>
    </row>
    <row r="75">
      <c r="B75" s="1" t="inlineStr">
        <is>
          <t>IUTE</t>
        </is>
      </c>
      <c r="C75" s="1" t="inlineStr">
        <is>
          <t>PHX5</t>
        </is>
      </c>
      <c r="F75" s="1" t="inlineStr">
        <is>
          <t>义乌</t>
        </is>
      </c>
      <c r="G75" s="1" t="inlineStr">
        <is>
          <t>IUTE</t>
        </is>
      </c>
      <c r="H75" s="114" t="n">
        <v>10.48</v>
      </c>
      <c r="I75" s="1" t="inlineStr">
        <is>
          <t>Y-718专线</t>
        </is>
      </c>
      <c r="J75" s="114" t="n">
        <v>0</v>
      </c>
    </row>
    <row r="76">
      <c r="B76" s="1" t="inlineStr">
        <is>
          <t>IUTH</t>
        </is>
      </c>
      <c r="C76" s="1" t="inlineStr">
        <is>
          <t>PHX7</t>
        </is>
      </c>
      <c r="F76" s="1" t="inlineStr">
        <is>
          <t>义乌</t>
        </is>
      </c>
      <c r="G76" s="1" t="inlineStr">
        <is>
          <t>IUTH</t>
        </is>
      </c>
      <c r="H76" s="114" t="n">
        <v>10.18</v>
      </c>
      <c r="I76" s="1" t="inlineStr">
        <is>
          <t>Y-K13美中专线</t>
        </is>
      </c>
      <c r="J76" s="114" t="n">
        <v>0</v>
      </c>
    </row>
    <row r="77">
      <c r="B77" s="1" t="inlineStr">
        <is>
          <t>IUTJ</t>
        </is>
      </c>
      <c r="C77" s="1" t="inlineStr">
        <is>
          <t>PIT2</t>
        </is>
      </c>
      <c r="F77" s="1" t="inlineStr">
        <is>
          <t>义乌</t>
        </is>
      </c>
      <c r="G77" s="1" t="inlineStr">
        <is>
          <t>IUTJ</t>
        </is>
      </c>
      <c r="H77" s="114" t="n">
        <v>9.08</v>
      </c>
      <c r="I77" s="1" t="inlineStr">
        <is>
          <t>Y-718专线</t>
        </is>
      </c>
      <c r="J77" s="114" t="n">
        <v>0</v>
      </c>
    </row>
    <row r="78">
      <c r="B78" s="1" t="inlineStr">
        <is>
          <t>IUTL</t>
        </is>
      </c>
      <c r="C78" s="1" t="inlineStr">
        <is>
          <t>POC1</t>
        </is>
      </c>
      <c r="F78" s="1" t="inlineStr">
        <is>
          <t>义乌</t>
        </is>
      </c>
      <c r="G78" s="1" t="inlineStr">
        <is>
          <t>IUTL</t>
        </is>
      </c>
      <c r="H78" s="114" t="n">
        <v>9.08</v>
      </c>
      <c r="I78" s="1" t="inlineStr">
        <is>
          <t>Y-718专线</t>
        </is>
      </c>
      <c r="J78" s="114" t="n">
        <v>0</v>
      </c>
    </row>
    <row r="79">
      <c r="B79" s="1" t="inlineStr">
        <is>
          <t>IWA6</t>
        </is>
      </c>
      <c r="C79" s="1" t="inlineStr">
        <is>
          <t>POC2</t>
        </is>
      </c>
      <c r="F79" s="1" t="inlineStr">
        <is>
          <t>义乌</t>
        </is>
      </c>
      <c r="G79" s="1" t="inlineStr">
        <is>
          <t>IWA6</t>
        </is>
      </c>
      <c r="H79" s="114" t="n">
        <v>10.98</v>
      </c>
      <c r="I79" s="1" t="inlineStr">
        <is>
          <t>Y-奥克兰快船</t>
        </is>
      </c>
      <c r="J79" s="114" t="n">
        <v>0</v>
      </c>
    </row>
    <row r="80">
      <c r="B80" s="1" t="inlineStr">
        <is>
          <t>JAX3</t>
        </is>
      </c>
      <c r="C80" s="1" t="inlineStr">
        <is>
          <t>POC3</t>
        </is>
      </c>
      <c r="F80" s="1" t="inlineStr">
        <is>
          <t>义乌</t>
        </is>
      </c>
      <c r="G80" s="1" t="inlineStr">
        <is>
          <t>JAX3</t>
        </is>
      </c>
      <c r="H80" s="114" t="n">
        <v>9.880000000000001</v>
      </c>
      <c r="I80" s="1" t="inlineStr">
        <is>
          <t>Y-A4SAV</t>
        </is>
      </c>
      <c r="J80" s="114" t="n">
        <v>0</v>
      </c>
    </row>
    <row r="81">
      <c r="B81" s="1" t="inlineStr">
        <is>
          <t>JVL1</t>
        </is>
      </c>
      <c r="C81" s="1" t="inlineStr">
        <is>
          <t>PSP3</t>
        </is>
      </c>
      <c r="F81" s="1" t="inlineStr">
        <is>
          <t>义乌</t>
        </is>
      </c>
      <c r="G81" s="1" t="inlineStr">
        <is>
          <t>JVL1</t>
        </is>
      </c>
      <c r="H81" s="114" t="n">
        <v>10.38</v>
      </c>
      <c r="I81" s="1" t="inlineStr">
        <is>
          <t>Y-K14芝加哥专线</t>
        </is>
      </c>
      <c r="J81" s="114" t="n">
        <v>0</v>
      </c>
    </row>
    <row r="82">
      <c r="B82" s="1" t="inlineStr">
        <is>
          <t>LAS1</t>
        </is>
      </c>
      <c r="C82" s="1" t="inlineStr">
        <is>
          <t>QXY8</t>
        </is>
      </c>
      <c r="F82" s="1" t="inlineStr">
        <is>
          <t>义乌</t>
        </is>
      </c>
      <c r="G82" s="1" t="inlineStr">
        <is>
          <t>LAS1</t>
        </is>
      </c>
      <c r="H82" s="114" t="n">
        <v>9.380000000000001</v>
      </c>
      <c r="I82" s="1" t="inlineStr">
        <is>
          <t>Y-A4-专线</t>
        </is>
      </c>
      <c r="J82" s="114" t="n">
        <v>0</v>
      </c>
    </row>
    <row r="83">
      <c r="B83" s="1" t="inlineStr">
        <is>
          <t>LAS6</t>
        </is>
      </c>
      <c r="C83" s="1" t="inlineStr">
        <is>
          <t>RDU2</t>
        </is>
      </c>
      <c r="F83" s="1" t="inlineStr">
        <is>
          <t>义乌</t>
        </is>
      </c>
      <c r="G83" s="1" t="inlineStr">
        <is>
          <t>LAS6</t>
        </is>
      </c>
      <c r="H83" s="114" t="n">
        <v>9.779999999999999</v>
      </c>
      <c r="I83" s="1" t="inlineStr">
        <is>
          <t>Y-718专线</t>
        </is>
      </c>
      <c r="J83" s="114" t="n">
        <v>0</v>
      </c>
    </row>
    <row r="84">
      <c r="B84" s="1" t="inlineStr">
        <is>
          <t>LAX9</t>
        </is>
      </c>
      <c r="C84" s="1" t="inlineStr">
        <is>
          <t>RFD2</t>
        </is>
      </c>
      <c r="F84" s="1" t="inlineStr">
        <is>
          <t>义乌</t>
        </is>
      </c>
      <c r="G84" s="1" t="inlineStr">
        <is>
          <t>LAX9</t>
        </is>
      </c>
      <c r="H84" s="114" t="n">
        <v>8.18</v>
      </c>
      <c r="I84" s="1" t="inlineStr">
        <is>
          <t>Y-SEND普船专线</t>
        </is>
      </c>
      <c r="J84" s="114" t="n">
        <v>0</v>
      </c>
    </row>
    <row r="85">
      <c r="B85" s="1" t="inlineStr">
        <is>
          <t>LBE1</t>
        </is>
      </c>
      <c r="C85" s="1" t="inlineStr">
        <is>
          <t>RMN3</t>
        </is>
      </c>
      <c r="F85" s="1" t="inlineStr">
        <is>
          <t>义乌</t>
        </is>
      </c>
      <c r="G85" s="1" t="inlineStr">
        <is>
          <t>LBE1</t>
        </is>
      </c>
      <c r="H85" s="114" t="n">
        <v>9.98</v>
      </c>
      <c r="I85" s="1" t="inlineStr">
        <is>
          <t>Y-A4NY</t>
        </is>
      </c>
      <c r="J85" s="114" t="n">
        <v>0</v>
      </c>
    </row>
    <row r="86">
      <c r="B86" s="1" t="inlineStr">
        <is>
          <t>LFT1</t>
        </is>
      </c>
      <c r="C86" s="1" t="inlineStr">
        <is>
          <t>RYY2</t>
        </is>
      </c>
      <c r="F86" s="1" t="inlineStr">
        <is>
          <t>义乌</t>
        </is>
      </c>
      <c r="G86" s="1" t="inlineStr">
        <is>
          <t>LFT1</t>
        </is>
      </c>
      <c r="H86" s="114" t="n">
        <v>10.78</v>
      </c>
      <c r="I86" s="1" t="inlineStr">
        <is>
          <t>Y-K13美中专线</t>
        </is>
      </c>
      <c r="J86" s="114" t="n">
        <v>0</v>
      </c>
    </row>
    <row r="87">
      <c r="B87" s="1" t="inlineStr">
        <is>
          <t>LGB4</t>
        </is>
      </c>
      <c r="C87" s="1" t="inlineStr">
        <is>
          <t>SBD1</t>
        </is>
      </c>
      <c r="F87" s="1" t="inlineStr">
        <is>
          <t>义乌</t>
        </is>
      </c>
      <c r="G87" s="1" t="inlineStr">
        <is>
          <t>LGB4</t>
        </is>
      </c>
      <c r="H87" s="114" t="n">
        <v>9.18</v>
      </c>
      <c r="I87" s="1" t="inlineStr">
        <is>
          <t>Y-718专线</t>
        </is>
      </c>
      <c r="J87" s="114" t="n">
        <v>0</v>
      </c>
    </row>
    <row r="88">
      <c r="B88" s="1" t="inlineStr">
        <is>
          <t>LGB6</t>
        </is>
      </c>
      <c r="C88" s="1" t="inlineStr">
        <is>
          <t>SBD2</t>
        </is>
      </c>
      <c r="F88" s="1" t="inlineStr">
        <is>
          <t>义乌</t>
        </is>
      </c>
      <c r="G88" s="1" t="inlineStr">
        <is>
          <t>LGB6</t>
        </is>
      </c>
      <c r="H88" s="114" t="n">
        <v>9.18</v>
      </c>
      <c r="I88" s="1" t="inlineStr">
        <is>
          <t>Y-718专线</t>
        </is>
      </c>
      <c r="J88" s="114" t="n">
        <v>0</v>
      </c>
    </row>
    <row r="89">
      <c r="B89" s="1" t="inlineStr">
        <is>
          <t>LGB8</t>
        </is>
      </c>
      <c r="C89" s="1" t="inlineStr">
        <is>
          <t>SCK1</t>
        </is>
      </c>
      <c r="F89" s="1" t="inlineStr">
        <is>
          <t>义乌</t>
        </is>
      </c>
      <c r="G89" s="1" t="inlineStr">
        <is>
          <t>LGB8</t>
        </is>
      </c>
      <c r="H89" s="114" t="n">
        <v>8.279999999999999</v>
      </c>
      <c r="I89" s="1" t="inlineStr">
        <is>
          <t>Y-A4-专线</t>
        </is>
      </c>
      <c r="J89" s="114" t="n">
        <v>0</v>
      </c>
    </row>
    <row r="90">
      <c r="B90" s="1" t="inlineStr">
        <is>
          <t>LIT2</t>
        </is>
      </c>
      <c r="C90" s="1" t="inlineStr">
        <is>
          <t>SCK4</t>
        </is>
      </c>
      <c r="F90" s="1" t="inlineStr">
        <is>
          <t>义乌</t>
        </is>
      </c>
      <c r="G90" s="1" t="inlineStr">
        <is>
          <t>LIT2</t>
        </is>
      </c>
      <c r="H90" s="114" t="n">
        <v>10.78</v>
      </c>
      <c r="I90" s="1" t="inlineStr">
        <is>
          <t>Y-K13美中专线</t>
        </is>
      </c>
      <c r="J90" s="114" t="n">
        <v>0</v>
      </c>
    </row>
    <row r="91">
      <c r="B91" s="1" t="inlineStr">
        <is>
          <t>MCC1</t>
        </is>
      </c>
      <c r="C91" s="1" t="inlineStr">
        <is>
          <t>SCK8</t>
        </is>
      </c>
      <c r="F91" s="1" t="inlineStr">
        <is>
          <t>义乌</t>
        </is>
      </c>
      <c r="G91" s="1" t="inlineStr">
        <is>
          <t>MCC1</t>
        </is>
      </c>
      <c r="H91" s="114" t="n">
        <v>8.880000000000001</v>
      </c>
      <c r="I91" s="1" t="inlineStr">
        <is>
          <t>Y-奥克兰快船</t>
        </is>
      </c>
      <c r="J91" s="114" t="n">
        <v>0</v>
      </c>
    </row>
    <row r="92">
      <c r="B92" s="1" t="inlineStr">
        <is>
          <t>MCE1</t>
        </is>
      </c>
      <c r="C92" s="1" t="inlineStr">
        <is>
          <t>SLC2</t>
        </is>
      </c>
      <c r="F92" s="1" t="inlineStr">
        <is>
          <t>义乌</t>
        </is>
      </c>
      <c r="G92" s="1" t="inlineStr">
        <is>
          <t>MCE1</t>
        </is>
      </c>
      <c r="H92" s="114" t="n">
        <v>9.279999999999999</v>
      </c>
      <c r="I92" s="1" t="inlineStr">
        <is>
          <t>Y-奥克兰快船</t>
        </is>
      </c>
      <c r="J92" s="114" t="n">
        <v>0</v>
      </c>
    </row>
    <row r="93">
      <c r="B93" s="1" t="inlineStr">
        <is>
          <t>MCI4</t>
        </is>
      </c>
      <c r="C93" s="1" t="inlineStr">
        <is>
          <t>SMF3</t>
        </is>
      </c>
      <c r="F93" s="1" t="inlineStr">
        <is>
          <t>义乌</t>
        </is>
      </c>
      <c r="G93" s="1" t="inlineStr">
        <is>
          <t>MCI4</t>
        </is>
      </c>
      <c r="H93" s="114" t="n">
        <v>12.28</v>
      </c>
      <c r="I93" s="1" t="inlineStr">
        <is>
          <t>Y-K14芝加哥专线</t>
        </is>
      </c>
      <c r="J93" s="114" t="n">
        <v>0</v>
      </c>
    </row>
    <row r="94">
      <c r="B94" s="1" t="inlineStr">
        <is>
          <t>MCO2</t>
        </is>
      </c>
      <c r="C94" s="1" t="inlineStr">
        <is>
          <t>SMF6</t>
        </is>
      </c>
      <c r="F94" s="1" t="inlineStr">
        <is>
          <t>义乌</t>
        </is>
      </c>
      <c r="G94" s="1" t="inlineStr">
        <is>
          <t>MCO2</t>
        </is>
      </c>
      <c r="H94" s="114" t="n">
        <v>10.08</v>
      </c>
      <c r="I94" s="1" t="inlineStr">
        <is>
          <t>Y-A4SAV</t>
        </is>
      </c>
      <c r="J94" s="114" t="n">
        <v>0</v>
      </c>
    </row>
    <row r="95">
      <c r="B95" s="1" t="inlineStr">
        <is>
          <t>MDT1</t>
        </is>
      </c>
      <c r="C95" s="1" t="inlineStr">
        <is>
          <t>SNA4</t>
        </is>
      </c>
      <c r="F95" s="1" t="inlineStr">
        <is>
          <t>义乌</t>
        </is>
      </c>
      <c r="G95" s="1" t="inlineStr">
        <is>
          <t>MDT1</t>
        </is>
      </c>
      <c r="H95" s="114" t="n">
        <v>9.68</v>
      </c>
      <c r="I95" s="1" t="inlineStr">
        <is>
          <t>Y-A4NY</t>
        </is>
      </c>
      <c r="J95" s="114" t="n">
        <v>0</v>
      </c>
    </row>
    <row r="96">
      <c r="B96" s="1" t="inlineStr">
        <is>
          <t>MDT4</t>
        </is>
      </c>
      <c r="C96" s="1" t="inlineStr">
        <is>
          <t>SWF1</t>
        </is>
      </c>
      <c r="F96" s="1" t="inlineStr">
        <is>
          <t>义乌</t>
        </is>
      </c>
      <c r="G96" s="1" t="inlineStr">
        <is>
          <t>MDT4</t>
        </is>
      </c>
      <c r="H96" s="114" t="n">
        <v>9.68</v>
      </c>
      <c r="I96" s="1" t="inlineStr">
        <is>
          <t>Y-A4NY</t>
        </is>
      </c>
      <c r="J96" s="114" t="n">
        <v>0</v>
      </c>
    </row>
    <row r="97">
      <c r="B97" s="1" t="inlineStr">
        <is>
          <t>MDW2</t>
        </is>
      </c>
      <c r="C97" s="1" t="inlineStr">
        <is>
          <t>SWF2</t>
        </is>
      </c>
      <c r="F97" s="1" t="inlineStr">
        <is>
          <t>义乌</t>
        </is>
      </c>
      <c r="G97" s="1" t="inlineStr">
        <is>
          <t>MDW2</t>
        </is>
      </c>
      <c r="H97" s="114" t="n">
        <v>9.58</v>
      </c>
      <c r="I97" s="1" t="inlineStr">
        <is>
          <t>Y-A6全美直送专线</t>
        </is>
      </c>
      <c r="J97" s="114" t="n">
        <v>0</v>
      </c>
    </row>
    <row r="98">
      <c r="B98" s="1" t="inlineStr">
        <is>
          <t>MDW6</t>
        </is>
      </c>
      <c r="C98" s="1" t="inlineStr">
        <is>
          <t>TCY1</t>
        </is>
      </c>
      <c r="F98" s="1" t="inlineStr">
        <is>
          <t>义乌</t>
        </is>
      </c>
      <c r="G98" s="1" t="inlineStr">
        <is>
          <t>MDW6</t>
        </is>
      </c>
      <c r="H98" s="114" t="n">
        <v>10.28</v>
      </c>
      <c r="I98" s="1" t="inlineStr">
        <is>
          <t>Y-K14芝加哥专线</t>
        </is>
      </c>
      <c r="J98" s="114" t="n">
        <v>0</v>
      </c>
    </row>
    <row r="99">
      <c r="B99" s="1" t="inlineStr">
        <is>
          <t>MEM1</t>
        </is>
      </c>
      <c r="C99" s="1" t="inlineStr">
        <is>
          <t>TCY2</t>
        </is>
      </c>
      <c r="F99" s="1" t="inlineStr">
        <is>
          <t>义乌</t>
        </is>
      </c>
      <c r="G99" s="1" t="inlineStr">
        <is>
          <t>MEM1</t>
        </is>
      </c>
      <c r="H99" s="114" t="n">
        <v>10.48</v>
      </c>
      <c r="I99" s="1" t="inlineStr">
        <is>
          <t>Y-A4SAV</t>
        </is>
      </c>
      <c r="J99" s="114" t="n">
        <v>0</v>
      </c>
    </row>
    <row r="100">
      <c r="B100" s="1" t="inlineStr">
        <is>
          <t>MEM8</t>
        </is>
      </c>
      <c r="C100" s="1" t="inlineStr">
        <is>
          <t>TEB3</t>
        </is>
      </c>
      <c r="F100" s="1" t="inlineStr">
        <is>
          <t>义乌</t>
        </is>
      </c>
      <c r="G100" s="1" t="inlineStr">
        <is>
          <t>MEM8</t>
        </is>
      </c>
      <c r="H100" s="114" t="n">
        <v>10.68</v>
      </c>
      <c r="I100" s="1" t="inlineStr">
        <is>
          <t>Y-K13美中专线</t>
        </is>
      </c>
      <c r="J100" s="114" t="n">
        <v>0</v>
      </c>
    </row>
    <row r="101">
      <c r="B101" s="1" t="inlineStr">
        <is>
          <t>MGE1</t>
        </is>
      </c>
      <c r="C101" s="1" t="inlineStr">
        <is>
          <t>TEB4</t>
        </is>
      </c>
      <c r="F101" s="1" t="inlineStr">
        <is>
          <t>义乌</t>
        </is>
      </c>
      <c r="G101" s="1" t="inlineStr">
        <is>
          <t>MGE1</t>
        </is>
      </c>
      <c r="H101" s="114" t="n">
        <v>10.88</v>
      </c>
      <c r="I101" s="1" t="inlineStr">
        <is>
          <t>Y-A4NY</t>
        </is>
      </c>
      <c r="J101" s="114" t="n">
        <v>0</v>
      </c>
    </row>
    <row r="102">
      <c r="B102" s="1" t="inlineStr">
        <is>
          <t>MGE3</t>
        </is>
      </c>
      <c r="C102" s="1" t="inlineStr">
        <is>
          <t>TEB6</t>
        </is>
      </c>
      <c r="F102" s="1" t="inlineStr">
        <is>
          <t>义乌</t>
        </is>
      </c>
      <c r="G102" s="1" t="inlineStr">
        <is>
          <t>MGE3</t>
        </is>
      </c>
      <c r="H102" s="114" t="n">
        <v>10.08</v>
      </c>
      <c r="I102" s="1" t="inlineStr">
        <is>
          <t>Y-A4SAV</t>
        </is>
      </c>
      <c r="J102" s="114" t="n">
        <v>0</v>
      </c>
    </row>
    <row r="103">
      <c r="B103" s="1" t="inlineStr">
        <is>
          <t>MIT2</t>
        </is>
      </c>
      <c r="C103" s="1" t="inlineStr">
        <is>
          <t>TEB9</t>
        </is>
      </c>
      <c r="F103" s="1" t="inlineStr">
        <is>
          <t>义乌</t>
        </is>
      </c>
      <c r="G103" s="1" t="inlineStr">
        <is>
          <t>MIT2</t>
        </is>
      </c>
      <c r="H103" s="114" t="n">
        <v>8.98</v>
      </c>
      <c r="I103" s="1" t="inlineStr">
        <is>
          <t>Y-A4-专线</t>
        </is>
      </c>
      <c r="J103" s="114" t="n">
        <v>0</v>
      </c>
    </row>
    <row r="104">
      <c r="B104" s="1" t="inlineStr">
        <is>
          <t>MKC4</t>
        </is>
      </c>
      <c r="C104" s="1" t="inlineStr">
        <is>
          <t>TPA2</t>
        </is>
      </c>
      <c r="F104" s="1" t="inlineStr">
        <is>
          <t>义乌</t>
        </is>
      </c>
      <c r="G104" s="1" t="inlineStr">
        <is>
          <t>MKC4</t>
        </is>
      </c>
      <c r="H104" s="114" t="n">
        <v>11.38</v>
      </c>
      <c r="I104" s="1" t="inlineStr">
        <is>
          <t>Y-K14芝加哥专线</t>
        </is>
      </c>
      <c r="J104" s="114" t="n">
        <v>0</v>
      </c>
    </row>
    <row r="105">
      <c r="B105" s="1" t="inlineStr">
        <is>
          <t>MQJ1</t>
        </is>
      </c>
      <c r="C105" s="1" t="inlineStr">
        <is>
          <t>TPA3</t>
        </is>
      </c>
      <c r="F105" s="1" t="inlineStr">
        <is>
          <t>义乌</t>
        </is>
      </c>
      <c r="G105" s="1" t="inlineStr">
        <is>
          <t>MQJ1</t>
        </is>
      </c>
      <c r="H105" s="114" t="n">
        <v>10.78</v>
      </c>
      <c r="I105" s="1" t="inlineStr">
        <is>
          <t>Y-K14芝加哥专线</t>
        </is>
      </c>
      <c r="J105" s="114" t="n">
        <v>0</v>
      </c>
    </row>
    <row r="106">
      <c r="B106" s="1" t="inlineStr">
        <is>
          <t>MQY2</t>
        </is>
      </c>
      <c r="C106" s="1" t="inlineStr">
        <is>
          <t>TTN2</t>
        </is>
      </c>
      <c r="F106" s="1" t="inlineStr">
        <is>
          <t>义乌</t>
        </is>
      </c>
      <c r="G106" s="1" t="inlineStr">
        <is>
          <t>MQY2</t>
        </is>
      </c>
      <c r="H106" s="114" t="n">
        <v>10.28</v>
      </c>
      <c r="I106" s="1" t="inlineStr">
        <is>
          <t>Y-A4SAV</t>
        </is>
      </c>
      <c r="J106" s="114" t="n">
        <v>0</v>
      </c>
    </row>
    <row r="107">
      <c r="B107" s="1" t="inlineStr">
        <is>
          <t>OAK3</t>
        </is>
      </c>
      <c r="C107" s="1" t="inlineStr">
        <is>
          <t>VGT2</t>
        </is>
      </c>
      <c r="F107" s="1" t="inlineStr">
        <is>
          <t>义乌</t>
        </is>
      </c>
      <c r="G107" s="1" t="inlineStr">
        <is>
          <t>OAK3</t>
        </is>
      </c>
      <c r="H107" s="114" t="n">
        <v>8.779999999999999</v>
      </c>
      <c r="I107" s="1" t="inlineStr">
        <is>
          <t>Y-奥克兰快船</t>
        </is>
      </c>
      <c r="J107" s="114" t="n">
        <v>0</v>
      </c>
    </row>
    <row r="108">
      <c r="B108" s="1" t="inlineStr">
        <is>
          <t>OKC2</t>
        </is>
      </c>
      <c r="C108" s="1" t="inlineStr">
        <is>
          <t>XEW5</t>
        </is>
      </c>
      <c r="F108" s="1" t="inlineStr">
        <is>
          <t>义乌</t>
        </is>
      </c>
      <c r="G108" s="1" t="inlineStr">
        <is>
          <t>OKC2</t>
        </is>
      </c>
      <c r="H108" s="114" t="n">
        <v>10.78</v>
      </c>
      <c r="I108" s="1" t="inlineStr">
        <is>
          <t>Y-K13美中专线</t>
        </is>
      </c>
      <c r="J108" s="114" t="n">
        <v>0</v>
      </c>
    </row>
    <row r="109">
      <c r="B109" s="1" t="inlineStr">
        <is>
          <t>ONT8</t>
        </is>
      </c>
      <c r="C109" s="1" t="inlineStr">
        <is>
          <t>XLX1</t>
        </is>
      </c>
      <c r="F109" s="1" t="inlineStr">
        <is>
          <t>义乌</t>
        </is>
      </c>
      <c r="G109" s="1" t="inlineStr">
        <is>
          <t>ONT8</t>
        </is>
      </c>
      <c r="H109" s="114" t="n">
        <v>8.279999999999999</v>
      </c>
      <c r="I109" s="1" t="inlineStr">
        <is>
          <t>Y-A4-专线</t>
        </is>
      </c>
      <c r="J109" s="114" t="n">
        <v>0</v>
      </c>
    </row>
    <row r="110">
      <c r="B110" s="1" t="inlineStr">
        <is>
          <t>ORD2</t>
        </is>
      </c>
      <c r="C110" s="1" t="inlineStr">
        <is>
          <t>XLX6</t>
        </is>
      </c>
      <c r="F110" s="1" t="inlineStr">
        <is>
          <t>义乌</t>
        </is>
      </c>
      <c r="G110" s="1" t="inlineStr">
        <is>
          <t>ORD2</t>
        </is>
      </c>
      <c r="H110" s="114" t="n">
        <v>10.28</v>
      </c>
      <c r="I110" s="1" t="inlineStr">
        <is>
          <t>Y-K14芝加哥专线</t>
        </is>
      </c>
      <c r="J110" s="114" t="n">
        <v>0</v>
      </c>
    </row>
    <row r="111">
      <c r="B111" s="1" t="inlineStr">
        <is>
          <t>ORF2</t>
        </is>
      </c>
      <c r="C111" s="1" t="inlineStr">
        <is>
          <t>XLX7</t>
        </is>
      </c>
      <c r="F111" s="1" t="inlineStr">
        <is>
          <t>义乌</t>
        </is>
      </c>
      <c r="G111" s="1" t="inlineStr">
        <is>
          <t>ORF2</t>
        </is>
      </c>
      <c r="H111" s="114" t="n">
        <v>10.18</v>
      </c>
      <c r="I111" s="1" t="inlineStr">
        <is>
          <t>Y-A4NY</t>
        </is>
      </c>
      <c r="J111" s="114" t="n">
        <v>0</v>
      </c>
    </row>
    <row r="112">
      <c r="B112" s="1" t="inlineStr">
        <is>
          <t>PBI2</t>
        </is>
      </c>
      <c r="C112" s="1" t="inlineStr">
        <is>
          <t>XPH1</t>
        </is>
      </c>
      <c r="F112" s="1" t="inlineStr">
        <is>
          <t>义乌</t>
        </is>
      </c>
      <c r="G112" s="1" t="inlineStr">
        <is>
          <t>PBI2</t>
        </is>
      </c>
      <c r="H112" s="114" t="n">
        <v>10.28</v>
      </c>
      <c r="I112" s="1" t="inlineStr">
        <is>
          <t>Y-A4SAV</t>
        </is>
      </c>
      <c r="J112" s="114" t="n">
        <v>0</v>
      </c>
    </row>
    <row r="113">
      <c r="B113" s="1" t="inlineStr">
        <is>
          <t>PDX7</t>
        </is>
      </c>
      <c r="C113" s="1" t="inlineStr">
        <is>
          <t>XRI3</t>
        </is>
      </c>
      <c r="F113" s="1" t="inlineStr">
        <is>
          <t>义乌</t>
        </is>
      </c>
      <c r="G113" s="1" t="inlineStr">
        <is>
          <t>PDX7</t>
        </is>
      </c>
      <c r="H113" s="114" t="n">
        <v>12.28</v>
      </c>
      <c r="I113" s="1" t="inlineStr">
        <is>
          <t>Y-718专线</t>
        </is>
      </c>
      <c r="J113" s="114" t="n">
        <v>0</v>
      </c>
    </row>
    <row r="114">
      <c r="B114" s="1" t="inlineStr">
        <is>
          <t>PHX5</t>
        </is>
      </c>
      <c r="C114" s="1" t="inlineStr">
        <is>
          <t>凯琦美西仓</t>
        </is>
      </c>
      <c r="F114" s="1" t="inlineStr">
        <is>
          <t>义乌</t>
        </is>
      </c>
      <c r="G114" s="1" t="inlineStr">
        <is>
          <t>PHX5</t>
        </is>
      </c>
      <c r="H114" s="114" t="n">
        <v>9.880000000000001</v>
      </c>
      <c r="I114" s="1" t="inlineStr">
        <is>
          <t>Y-718专线</t>
        </is>
      </c>
      <c r="J114" s="114" t="n">
        <v>0</v>
      </c>
    </row>
    <row r="115">
      <c r="B115" s="1" t="inlineStr">
        <is>
          <t>PHX7</t>
        </is>
      </c>
      <c r="C115" s="1" t="inlineStr">
        <is>
          <t>美国东岸(邮编0.1.2.3.4开头)</t>
        </is>
      </c>
      <c r="F115" s="1" t="inlineStr">
        <is>
          <t>义乌</t>
        </is>
      </c>
      <c r="G115" s="1" t="inlineStr">
        <is>
          <t>PHX7</t>
        </is>
      </c>
      <c r="H115" s="114" t="n">
        <v>9.880000000000001</v>
      </c>
      <c r="I115" s="1" t="inlineStr">
        <is>
          <t>Y-718专线</t>
        </is>
      </c>
      <c r="J115" s="114" t="n">
        <v>0</v>
      </c>
    </row>
    <row r="116">
      <c r="B116" s="1" t="inlineStr">
        <is>
          <t>PIT2</t>
        </is>
      </c>
      <c r="C116" s="1" t="inlineStr">
        <is>
          <t>美国中部(邮编5.6.7开头)</t>
        </is>
      </c>
      <c r="F116" s="1" t="inlineStr">
        <is>
          <t>义乌</t>
        </is>
      </c>
      <c r="G116" s="1" t="inlineStr">
        <is>
          <t>PIT2</t>
        </is>
      </c>
      <c r="H116" s="114" t="n">
        <v>9.98</v>
      </c>
      <c r="I116" s="1" t="inlineStr">
        <is>
          <t>Y-A4NY</t>
        </is>
      </c>
      <c r="J116" s="114" t="n">
        <v>0</v>
      </c>
    </row>
    <row r="117">
      <c r="B117" s="1" t="inlineStr">
        <is>
          <t>POC1</t>
        </is>
      </c>
      <c r="C117" s="1" t="inlineStr">
        <is>
          <t>美国西岸北（邮编97.98.99开头）</t>
        </is>
      </c>
      <c r="F117" s="1" t="inlineStr">
        <is>
          <t>义乌</t>
        </is>
      </c>
      <c r="G117" s="1" t="inlineStr">
        <is>
          <t>POC1</t>
        </is>
      </c>
      <c r="H117" s="114" t="n">
        <v>8.48</v>
      </c>
      <c r="I117" s="1" t="inlineStr">
        <is>
          <t>Y-A4-专线</t>
        </is>
      </c>
      <c r="J117" s="114" t="n">
        <v>0</v>
      </c>
    </row>
    <row r="118">
      <c r="B118" s="1" t="inlineStr">
        <is>
          <t>POC2</t>
        </is>
      </c>
      <c r="F118" s="1" t="inlineStr">
        <is>
          <t>义乌</t>
        </is>
      </c>
      <c r="G118" s="1" t="inlineStr">
        <is>
          <t>POC2</t>
        </is>
      </c>
      <c r="H118" s="114" t="n">
        <v>8.279999999999999</v>
      </c>
      <c r="I118" s="1" t="inlineStr">
        <is>
          <t>Y-A4-专线</t>
        </is>
      </c>
      <c r="J118" s="114" t="n">
        <v>0</v>
      </c>
    </row>
    <row r="119">
      <c r="B119" s="1" t="inlineStr">
        <is>
          <t>POC3</t>
        </is>
      </c>
      <c r="F119" s="1" t="inlineStr">
        <is>
          <t>义乌</t>
        </is>
      </c>
      <c r="G119" s="1" t="inlineStr">
        <is>
          <t>POC3</t>
        </is>
      </c>
      <c r="H119" s="114" t="n">
        <v>8.279999999999999</v>
      </c>
      <c r="I119" s="1" t="inlineStr">
        <is>
          <t>Y-A4-专线</t>
        </is>
      </c>
      <c r="J119" s="114" t="n">
        <v>0</v>
      </c>
    </row>
    <row r="120">
      <c r="B120" s="1" t="inlineStr">
        <is>
          <t>PSP3</t>
        </is>
      </c>
      <c r="F120" s="1" t="inlineStr">
        <is>
          <t>义乌</t>
        </is>
      </c>
      <c r="G120" s="1" t="inlineStr">
        <is>
          <t>PSP3</t>
        </is>
      </c>
      <c r="H120" s="114" t="n">
        <v>9.08</v>
      </c>
      <c r="I120" s="1" t="inlineStr">
        <is>
          <t>Y-718专线</t>
        </is>
      </c>
      <c r="J120" s="114" t="n">
        <v>0</v>
      </c>
    </row>
    <row r="121">
      <c r="B121" s="1" t="inlineStr">
        <is>
          <t>QXY8</t>
        </is>
      </c>
      <c r="F121" s="1" t="inlineStr">
        <is>
          <t>义乌</t>
        </is>
      </c>
      <c r="G121" s="1" t="inlineStr">
        <is>
          <t>QXY8</t>
        </is>
      </c>
      <c r="H121" s="114" t="n">
        <v>9.18</v>
      </c>
      <c r="I121" s="1" t="inlineStr">
        <is>
          <t>Y-奥克兰快船</t>
        </is>
      </c>
      <c r="J121" s="114" t="n">
        <v>0</v>
      </c>
    </row>
    <row r="122">
      <c r="B122" s="1" t="inlineStr">
        <is>
          <t>RDU2</t>
        </is>
      </c>
      <c r="F122" s="1" t="inlineStr">
        <is>
          <t>义乌</t>
        </is>
      </c>
      <c r="G122" s="1" t="inlineStr">
        <is>
          <t>RDU2</t>
        </is>
      </c>
      <c r="H122" s="114" t="n">
        <v>9.880000000000001</v>
      </c>
      <c r="I122" s="1" t="inlineStr">
        <is>
          <t>Y-A4SAV</t>
        </is>
      </c>
      <c r="J122" s="114" t="n">
        <v>0</v>
      </c>
    </row>
    <row r="123">
      <c r="B123" s="1" t="inlineStr">
        <is>
          <t>RFD2</t>
        </is>
      </c>
      <c r="F123" s="1" t="inlineStr">
        <is>
          <t>义乌</t>
        </is>
      </c>
      <c r="G123" s="1" t="inlineStr">
        <is>
          <t>RFD2</t>
        </is>
      </c>
      <c r="H123" s="114" t="n">
        <v>10.18</v>
      </c>
      <c r="I123" s="1" t="inlineStr">
        <is>
          <t>Y-K14芝加哥专线</t>
        </is>
      </c>
      <c r="J123" s="114" t="n">
        <v>0</v>
      </c>
    </row>
    <row r="124">
      <c r="B124" s="1" t="inlineStr">
        <is>
          <t>RFD4</t>
        </is>
      </c>
      <c r="F124" s="1" t="inlineStr">
        <is>
          <t>义乌</t>
        </is>
      </c>
      <c r="G124" s="1" t="inlineStr">
        <is>
          <t>RFD4</t>
        </is>
      </c>
      <c r="H124" s="114" t="n">
        <v>10.28</v>
      </c>
      <c r="I124" s="1" t="inlineStr">
        <is>
          <t>Y-K14芝加哥专线</t>
        </is>
      </c>
      <c r="J124" s="114" t="n">
        <v>0</v>
      </c>
    </row>
    <row r="125">
      <c r="B125" s="1" t="inlineStr">
        <is>
          <t>RMN3</t>
        </is>
      </c>
      <c r="F125" s="1" t="inlineStr">
        <is>
          <t>义乌</t>
        </is>
      </c>
      <c r="G125" s="1" t="inlineStr">
        <is>
          <t>RMN3</t>
        </is>
      </c>
      <c r="H125" s="114" t="n">
        <v>10.18</v>
      </c>
      <c r="I125" s="1" t="inlineStr">
        <is>
          <t>Y-A4NY</t>
        </is>
      </c>
      <c r="J125" s="114" t="n">
        <v>0</v>
      </c>
    </row>
    <row r="126">
      <c r="B126" s="1" t="inlineStr">
        <is>
          <t>RYY2</t>
        </is>
      </c>
      <c r="F126" s="1" t="inlineStr">
        <is>
          <t>义乌</t>
        </is>
      </c>
      <c r="G126" s="1" t="inlineStr">
        <is>
          <t>RYY2</t>
        </is>
      </c>
      <c r="H126" s="114" t="n">
        <v>9.880000000000001</v>
      </c>
      <c r="I126" s="1" t="inlineStr">
        <is>
          <t>Y-A4SAV</t>
        </is>
      </c>
      <c r="J126" s="114" t="n">
        <v>0</v>
      </c>
    </row>
    <row r="127">
      <c r="B127" s="1" t="inlineStr">
        <is>
          <t>SAT1</t>
        </is>
      </c>
      <c r="F127" s="1" t="inlineStr">
        <is>
          <t>义乌</t>
        </is>
      </c>
      <c r="G127" s="1" t="inlineStr">
        <is>
          <t>SAT1</t>
        </is>
      </c>
      <c r="H127" s="114" t="n">
        <v>10.08</v>
      </c>
      <c r="I127" s="1" t="inlineStr">
        <is>
          <t>Y-K13美中专线</t>
        </is>
      </c>
      <c r="J127" s="114" t="n">
        <v>0</v>
      </c>
    </row>
    <row r="128">
      <c r="B128" s="1" t="inlineStr">
        <is>
          <t>SAT4</t>
        </is>
      </c>
      <c r="F128" s="1" t="inlineStr">
        <is>
          <t>义乌</t>
        </is>
      </c>
      <c r="G128" s="1" t="inlineStr">
        <is>
          <t>SAT4</t>
        </is>
      </c>
      <c r="H128" s="114" t="n">
        <v>10.18</v>
      </c>
      <c r="I128" s="1" t="inlineStr">
        <is>
          <t>Y-K13美中专线</t>
        </is>
      </c>
      <c r="J128" s="114" t="n">
        <v>0</v>
      </c>
    </row>
    <row r="129">
      <c r="B129" s="1" t="inlineStr">
        <is>
          <t>SAT6</t>
        </is>
      </c>
      <c r="F129" s="1" t="inlineStr">
        <is>
          <t>义乌</t>
        </is>
      </c>
      <c r="G129" s="1" t="inlineStr">
        <is>
          <t>SAT6</t>
        </is>
      </c>
      <c r="H129" s="114" t="n">
        <v>10.08</v>
      </c>
      <c r="I129" s="1" t="inlineStr">
        <is>
          <t>Y-K13美中专线</t>
        </is>
      </c>
      <c r="J129" s="114" t="n">
        <v>0</v>
      </c>
    </row>
    <row r="130">
      <c r="B130" s="1" t="inlineStr">
        <is>
          <t>SBD1</t>
        </is>
      </c>
      <c r="F130" s="1" t="inlineStr">
        <is>
          <t>义乌</t>
        </is>
      </c>
      <c r="G130" s="1" t="inlineStr">
        <is>
          <t>SBD1</t>
        </is>
      </c>
      <c r="H130" s="114" t="n">
        <v>8.18</v>
      </c>
      <c r="I130" s="1" t="inlineStr">
        <is>
          <t>Y-SEND普船专线</t>
        </is>
      </c>
      <c r="J130" s="114" t="n">
        <v>0</v>
      </c>
    </row>
    <row r="131">
      <c r="B131" s="1" t="inlineStr">
        <is>
          <t>SBD2</t>
        </is>
      </c>
      <c r="F131" s="1" t="inlineStr">
        <is>
          <t>义乌</t>
        </is>
      </c>
      <c r="G131" s="1" t="inlineStr">
        <is>
          <t>SBD2</t>
        </is>
      </c>
      <c r="H131" s="114" t="n">
        <v>9.18</v>
      </c>
      <c r="I131" s="1" t="inlineStr">
        <is>
          <t>Y-718专线</t>
        </is>
      </c>
      <c r="J131" s="114" t="n">
        <v>0</v>
      </c>
    </row>
    <row r="132">
      <c r="B132" s="1" t="inlineStr">
        <is>
          <t>SCK1</t>
        </is>
      </c>
      <c r="F132" s="1" t="inlineStr">
        <is>
          <t>义乌</t>
        </is>
      </c>
      <c r="G132" s="1" t="inlineStr">
        <is>
          <t>SCK1</t>
        </is>
      </c>
      <c r="H132" s="114" t="n">
        <v>8.779999999999999</v>
      </c>
      <c r="I132" s="1" t="inlineStr">
        <is>
          <t>Y-奥克兰快船</t>
        </is>
      </c>
      <c r="J132" s="114" t="n">
        <v>0</v>
      </c>
    </row>
    <row r="133">
      <c r="B133" s="1" t="inlineStr">
        <is>
          <t>SCK3</t>
        </is>
      </c>
      <c r="F133" s="1" t="inlineStr">
        <is>
          <t>义乌</t>
        </is>
      </c>
      <c r="G133" s="1" t="inlineStr">
        <is>
          <t>SCK3</t>
        </is>
      </c>
      <c r="H133" s="114" t="n">
        <v>8.779999999999999</v>
      </c>
      <c r="I133" s="1" t="inlineStr">
        <is>
          <t>Y-奥克兰快船</t>
        </is>
      </c>
      <c r="J133" s="114" t="n">
        <v>0</v>
      </c>
    </row>
    <row r="134">
      <c r="B134" s="1" t="inlineStr">
        <is>
          <t>SCK4</t>
        </is>
      </c>
      <c r="F134" s="1" t="inlineStr">
        <is>
          <t>义乌</t>
        </is>
      </c>
      <c r="G134" s="1" t="inlineStr">
        <is>
          <t>SCK4</t>
        </is>
      </c>
      <c r="H134" s="114" t="n">
        <v>8.48</v>
      </c>
      <c r="I134" s="1" t="inlineStr">
        <is>
          <t>Y-A6全美直送专线</t>
        </is>
      </c>
      <c r="J134" s="114" t="n">
        <v>0</v>
      </c>
    </row>
    <row r="135">
      <c r="B135" s="1" t="inlineStr">
        <is>
          <t>SCK8</t>
        </is>
      </c>
      <c r="F135" s="1" t="inlineStr">
        <is>
          <t>义乌</t>
        </is>
      </c>
      <c r="G135" s="1" t="inlineStr">
        <is>
          <t>SCK8</t>
        </is>
      </c>
      <c r="H135" s="114" t="n">
        <v>8.48</v>
      </c>
      <c r="I135" s="1" t="inlineStr">
        <is>
          <t>Y-A6全美直送专线</t>
        </is>
      </c>
      <c r="J135" s="114" t="n">
        <v>0</v>
      </c>
    </row>
    <row r="136">
      <c r="B136" s="1" t="inlineStr">
        <is>
          <t>SLC2</t>
        </is>
      </c>
      <c r="F136" s="1" t="inlineStr">
        <is>
          <t>义乌</t>
        </is>
      </c>
      <c r="G136" s="1" t="inlineStr">
        <is>
          <t>SLC2</t>
        </is>
      </c>
      <c r="H136" s="114" t="n">
        <v>11.08</v>
      </c>
      <c r="I136" s="1" t="inlineStr">
        <is>
          <t>Y-718专线</t>
        </is>
      </c>
      <c r="J136" s="114" t="n">
        <v>0</v>
      </c>
    </row>
    <row r="137">
      <c r="B137" s="1" t="inlineStr">
        <is>
          <t>SMF1</t>
        </is>
      </c>
      <c r="F137" s="1" t="inlineStr">
        <is>
          <t>义乌</t>
        </is>
      </c>
      <c r="G137" s="1" t="inlineStr">
        <is>
          <t>SMF1</t>
        </is>
      </c>
      <c r="H137" s="114" t="n">
        <v>9.18</v>
      </c>
      <c r="I137" s="1" t="inlineStr">
        <is>
          <t>Y-奥克兰快船</t>
        </is>
      </c>
      <c r="J137" s="114" t="n">
        <v>0</v>
      </c>
    </row>
    <row r="138">
      <c r="B138" s="1" t="inlineStr">
        <is>
          <t>SMF3</t>
        </is>
      </c>
      <c r="F138" s="1" t="inlineStr">
        <is>
          <t>义乌</t>
        </is>
      </c>
      <c r="G138" s="1" t="inlineStr">
        <is>
          <t>SMF3</t>
        </is>
      </c>
      <c r="H138" s="114" t="n">
        <v>7.98</v>
      </c>
      <c r="I138" s="1" t="inlineStr">
        <is>
          <t>Y-SEND普船专线</t>
        </is>
      </c>
      <c r="J138" s="114" t="n">
        <v>0</v>
      </c>
    </row>
    <row r="139">
      <c r="B139" s="1" t="inlineStr">
        <is>
          <t>SMF6</t>
        </is>
      </c>
      <c r="F139" s="1" t="inlineStr">
        <is>
          <t>义乌</t>
        </is>
      </c>
      <c r="G139" s="1" t="inlineStr">
        <is>
          <t>SMF6</t>
        </is>
      </c>
      <c r="H139" s="114" t="n">
        <v>9.18</v>
      </c>
      <c r="I139" s="1" t="inlineStr">
        <is>
          <t>Y-奥克兰快船</t>
        </is>
      </c>
      <c r="J139" s="114" t="n">
        <v>0</v>
      </c>
    </row>
    <row r="140">
      <c r="B140" s="1" t="inlineStr">
        <is>
          <t>SMF7</t>
        </is>
      </c>
      <c r="F140" s="1" t="inlineStr">
        <is>
          <t>义乌</t>
        </is>
      </c>
      <c r="G140" s="1" t="inlineStr">
        <is>
          <t>SMF7</t>
        </is>
      </c>
      <c r="H140" s="114" t="n">
        <v>9.279999999999999</v>
      </c>
      <c r="I140" s="1" t="inlineStr">
        <is>
          <t>Y-奥克兰快船</t>
        </is>
      </c>
      <c r="J140" s="114" t="n">
        <v>0</v>
      </c>
    </row>
    <row r="141">
      <c r="B141" s="1" t="inlineStr">
        <is>
          <t>SNA4</t>
        </is>
      </c>
      <c r="F141" s="1" t="inlineStr">
        <is>
          <t>义乌</t>
        </is>
      </c>
      <c r="G141" s="1" t="inlineStr">
        <is>
          <t>SNA4</t>
        </is>
      </c>
      <c r="H141" s="114" t="n">
        <v>9.18</v>
      </c>
      <c r="I141" s="1" t="inlineStr">
        <is>
          <t>Y-718专线</t>
        </is>
      </c>
      <c r="J141" s="114" t="n">
        <v>0</v>
      </c>
    </row>
    <row r="142">
      <c r="B142" s="1" t="inlineStr">
        <is>
          <t>STL3</t>
        </is>
      </c>
      <c r="F142" s="1" t="inlineStr">
        <is>
          <t>义乌</t>
        </is>
      </c>
      <c r="G142" s="1" t="inlineStr">
        <is>
          <t>STL3</t>
        </is>
      </c>
      <c r="H142" s="114" t="n">
        <v>11.08</v>
      </c>
      <c r="I142" s="1" t="inlineStr">
        <is>
          <t>Y-K14芝加哥专线</t>
        </is>
      </c>
      <c r="J142" s="114" t="n">
        <v>0</v>
      </c>
    </row>
    <row r="143">
      <c r="B143" s="1" t="inlineStr">
        <is>
          <t>STL4</t>
        </is>
      </c>
      <c r="F143" s="1" t="inlineStr">
        <is>
          <t>义乌</t>
        </is>
      </c>
      <c r="G143" s="1" t="inlineStr">
        <is>
          <t>STL4</t>
        </is>
      </c>
      <c r="H143" s="114" t="n">
        <v>10.78</v>
      </c>
      <c r="I143" s="1" t="inlineStr">
        <is>
          <t>Y-K14芝加哥专线</t>
        </is>
      </c>
      <c r="J143" s="114" t="n">
        <v>0</v>
      </c>
    </row>
    <row r="144">
      <c r="B144" s="1" t="inlineStr">
        <is>
          <t>SWF1</t>
        </is>
      </c>
      <c r="F144" s="1" t="inlineStr">
        <is>
          <t>义乌</t>
        </is>
      </c>
      <c r="G144" s="1" t="inlineStr">
        <is>
          <t>SWF1</t>
        </is>
      </c>
      <c r="H144" s="114" t="n">
        <v>9.68</v>
      </c>
      <c r="I144" s="1" t="inlineStr">
        <is>
          <t>Y-A4NY</t>
        </is>
      </c>
      <c r="J144" s="114" t="n">
        <v>0</v>
      </c>
    </row>
    <row r="145">
      <c r="B145" s="1" t="inlineStr">
        <is>
          <t>SWF2</t>
        </is>
      </c>
      <c r="F145" s="1" t="inlineStr">
        <is>
          <t>义乌</t>
        </is>
      </c>
      <c r="G145" s="1" t="inlineStr">
        <is>
          <t>SWF2</t>
        </is>
      </c>
      <c r="H145" s="114" t="n">
        <v>9.68</v>
      </c>
      <c r="I145" s="1" t="inlineStr">
        <is>
          <t>Y-A4NY</t>
        </is>
      </c>
      <c r="J145" s="114" t="n">
        <v>0</v>
      </c>
    </row>
    <row r="146">
      <c r="B146" s="1" t="inlineStr">
        <is>
          <t>TCY1</t>
        </is>
      </c>
      <c r="F146" s="1" t="inlineStr">
        <is>
          <t>义乌</t>
        </is>
      </c>
      <c r="G146" s="1" t="inlineStr">
        <is>
          <t>TCY1</t>
        </is>
      </c>
      <c r="H146" s="114" t="n">
        <v>8.779999999999999</v>
      </c>
      <c r="I146" s="1" t="inlineStr">
        <is>
          <t>Y-奥克兰快船</t>
        </is>
      </c>
      <c r="J146" s="114" t="n">
        <v>0</v>
      </c>
    </row>
    <row r="147">
      <c r="B147" s="1" t="inlineStr">
        <is>
          <t>TCY2</t>
        </is>
      </c>
      <c r="F147" s="1" t="inlineStr">
        <is>
          <t>义乌</t>
        </is>
      </c>
      <c r="G147" s="1" t="inlineStr">
        <is>
          <t>TCY2</t>
        </is>
      </c>
      <c r="H147" s="114" t="n">
        <v>8.779999999999999</v>
      </c>
      <c r="I147" s="1" t="inlineStr">
        <is>
          <t>Y-奥克兰快船</t>
        </is>
      </c>
      <c r="J147" s="114" t="n">
        <v>0</v>
      </c>
    </row>
    <row r="148">
      <c r="B148" s="1" t="inlineStr">
        <is>
          <t>TEB3</t>
        </is>
      </c>
      <c r="F148" s="1" t="inlineStr">
        <is>
          <t>义乌</t>
        </is>
      </c>
      <c r="G148" s="1" t="inlineStr">
        <is>
          <t>TEB3</t>
        </is>
      </c>
      <c r="H148" s="114" t="n">
        <v>9.380000000000001</v>
      </c>
      <c r="I148" s="1" t="inlineStr">
        <is>
          <t>Y-A4NY</t>
        </is>
      </c>
      <c r="J148" s="114" t="n">
        <v>0</v>
      </c>
    </row>
    <row r="149">
      <c r="B149" s="1" t="inlineStr">
        <is>
          <t>TEB4</t>
        </is>
      </c>
      <c r="F149" s="1" t="inlineStr">
        <is>
          <t>义乌</t>
        </is>
      </c>
      <c r="G149" s="1" t="inlineStr">
        <is>
          <t>TEB4</t>
        </is>
      </c>
      <c r="H149" s="114" t="n">
        <v>9.380000000000001</v>
      </c>
      <c r="I149" s="1" t="inlineStr">
        <is>
          <t>Y-A4NY</t>
        </is>
      </c>
      <c r="J149" s="114" t="n">
        <v>0</v>
      </c>
    </row>
    <row r="150">
      <c r="B150" s="1" t="inlineStr">
        <is>
          <t>TEB6</t>
        </is>
      </c>
      <c r="F150" s="1" t="inlineStr">
        <is>
          <t>义乌</t>
        </is>
      </c>
      <c r="G150" s="1" t="inlineStr">
        <is>
          <t>TEB6</t>
        </is>
      </c>
      <c r="H150" s="114" t="n">
        <v>9.380000000000001</v>
      </c>
      <c r="I150" s="1" t="inlineStr">
        <is>
          <t>Y-A4NY</t>
        </is>
      </c>
      <c r="J150" s="114" t="n">
        <v>0</v>
      </c>
    </row>
    <row r="151">
      <c r="B151" s="1" t="inlineStr">
        <is>
          <t>TEB9</t>
        </is>
      </c>
      <c r="F151" s="1" t="inlineStr">
        <is>
          <t>义乌</t>
        </is>
      </c>
      <c r="G151" s="1" t="inlineStr">
        <is>
          <t>TEB9</t>
        </is>
      </c>
      <c r="H151" s="114" t="n">
        <v>8.779999999999999</v>
      </c>
      <c r="I151" s="1" t="inlineStr">
        <is>
          <t>Y-SEND普船专线</t>
        </is>
      </c>
      <c r="J151" s="114" t="n">
        <v>0</v>
      </c>
    </row>
    <row r="152">
      <c r="B152" s="1" t="inlineStr">
        <is>
          <t>TOL3</t>
        </is>
      </c>
      <c r="F152" s="1" t="inlineStr">
        <is>
          <t>义乌</t>
        </is>
      </c>
      <c r="G152" s="1" t="inlineStr">
        <is>
          <t>TOL3</t>
        </is>
      </c>
      <c r="H152" s="114" t="n">
        <v>11.08</v>
      </c>
      <c r="I152" s="1" t="inlineStr">
        <is>
          <t>Y-K14芝加哥专线</t>
        </is>
      </c>
      <c r="J152" s="114" t="n">
        <v>0</v>
      </c>
    </row>
    <row r="153">
      <c r="B153" s="1" t="inlineStr">
        <is>
          <t>TPA2</t>
        </is>
      </c>
      <c r="F153" s="1" t="inlineStr">
        <is>
          <t>义乌</t>
        </is>
      </c>
      <c r="G153" s="1" t="inlineStr">
        <is>
          <t>TPA2</t>
        </is>
      </c>
      <c r="H153" s="114" t="n">
        <v>10.08</v>
      </c>
      <c r="I153" s="1" t="inlineStr">
        <is>
          <t>Y-A4SAV</t>
        </is>
      </c>
      <c r="J153" s="114" t="n">
        <v>0</v>
      </c>
    </row>
    <row r="154">
      <c r="B154" s="1" t="inlineStr">
        <is>
          <t>TPA3</t>
        </is>
      </c>
      <c r="F154" s="1" t="inlineStr">
        <is>
          <t>义乌</t>
        </is>
      </c>
      <c r="G154" s="1" t="inlineStr">
        <is>
          <t>TPA3</t>
        </is>
      </c>
      <c r="H154" s="114" t="n">
        <v>10.08</v>
      </c>
      <c r="I154" s="1" t="inlineStr">
        <is>
          <t>Y-A4SAV</t>
        </is>
      </c>
      <c r="J154" s="114" t="n">
        <v>0</v>
      </c>
    </row>
    <row r="155">
      <c r="B155" s="1" t="inlineStr">
        <is>
          <t>TTN2</t>
        </is>
      </c>
      <c r="F155" s="1" t="inlineStr">
        <is>
          <t>义乌</t>
        </is>
      </c>
      <c r="G155" s="1" t="inlineStr">
        <is>
          <t>TTN2</t>
        </is>
      </c>
      <c r="H155" s="114" t="n">
        <v>9.58</v>
      </c>
      <c r="I155" s="1" t="inlineStr">
        <is>
          <t>Y-A4NY</t>
        </is>
      </c>
      <c r="J155" s="114" t="n">
        <v>0</v>
      </c>
    </row>
    <row r="156">
      <c r="B156" s="1" t="inlineStr">
        <is>
          <t>VGT2</t>
        </is>
      </c>
      <c r="F156" s="1" t="inlineStr">
        <is>
          <t>义乌</t>
        </is>
      </c>
      <c r="G156" s="1" t="inlineStr">
        <is>
          <t>VGT2</t>
        </is>
      </c>
      <c r="H156" s="114" t="n">
        <v>9.08</v>
      </c>
      <c r="I156" s="1" t="inlineStr">
        <is>
          <t>Y-A4-专线</t>
        </is>
      </c>
      <c r="J156" s="114" t="n">
        <v>0</v>
      </c>
    </row>
    <row r="157">
      <c r="B157" s="1" t="inlineStr">
        <is>
          <t>XCAB</t>
        </is>
      </c>
      <c r="F157" s="1" t="inlineStr">
        <is>
          <t>义乌</t>
        </is>
      </c>
      <c r="G157" s="1" t="inlineStr">
        <is>
          <t>XCAB</t>
        </is>
      </c>
      <c r="H157" s="114" t="n">
        <v>8.68</v>
      </c>
      <c r="I157" s="1" t="inlineStr">
        <is>
          <t>Y-X1-专线(卡尔加里)</t>
        </is>
      </c>
      <c r="J157" s="114" t="n">
        <v>1</v>
      </c>
    </row>
    <row r="158">
      <c r="B158" s="1" t="inlineStr">
        <is>
          <t>XEW5</t>
        </is>
      </c>
      <c r="F158" s="1" t="inlineStr">
        <is>
          <t>义乌</t>
        </is>
      </c>
      <c r="G158" s="1" t="inlineStr">
        <is>
          <t>XEW5</t>
        </is>
      </c>
      <c r="H158" s="114" t="n">
        <v>9.68</v>
      </c>
      <c r="I158" s="1" t="inlineStr">
        <is>
          <t>Y-A4NY</t>
        </is>
      </c>
      <c r="J158" s="114" t="n">
        <v>0</v>
      </c>
    </row>
    <row r="159">
      <c r="B159" s="1" t="inlineStr">
        <is>
          <t>XLX1</t>
        </is>
      </c>
      <c r="F159" s="1" t="inlineStr">
        <is>
          <t>义乌</t>
        </is>
      </c>
      <c r="G159" s="1" t="inlineStr">
        <is>
          <t>XLX1</t>
        </is>
      </c>
      <c r="H159" s="114" t="n">
        <v>10.08</v>
      </c>
      <c r="I159" s="1" t="inlineStr">
        <is>
          <t>Y-A4NY</t>
        </is>
      </c>
      <c r="J159" s="114" t="n">
        <v>0</v>
      </c>
    </row>
    <row r="160">
      <c r="B160" s="1" t="inlineStr">
        <is>
          <t>XLX6</t>
        </is>
      </c>
      <c r="F160" s="1" t="inlineStr">
        <is>
          <t>义乌</t>
        </is>
      </c>
      <c r="G160" s="1" t="inlineStr">
        <is>
          <t>XLX6</t>
        </is>
      </c>
      <c r="H160" s="114" t="n">
        <v>9.880000000000001</v>
      </c>
      <c r="I160" s="1" t="inlineStr">
        <is>
          <t>Y-A4SAV</t>
        </is>
      </c>
      <c r="J160" s="114" t="n">
        <v>0</v>
      </c>
    </row>
    <row r="161">
      <c r="B161" s="1" t="inlineStr">
        <is>
          <t>XLX7</t>
        </is>
      </c>
      <c r="F161" s="1" t="inlineStr">
        <is>
          <t>义乌</t>
        </is>
      </c>
      <c r="G161" s="1" t="inlineStr">
        <is>
          <t>XLX7</t>
        </is>
      </c>
      <c r="H161" s="114" t="n">
        <v>8.68</v>
      </c>
      <c r="I161" s="1" t="inlineStr">
        <is>
          <t>Y-A4-专线</t>
        </is>
      </c>
      <c r="J161" s="114" t="n">
        <v>0</v>
      </c>
    </row>
    <row r="162">
      <c r="B162" s="1" t="inlineStr">
        <is>
          <t>XMI3</t>
        </is>
      </c>
      <c r="F162" s="1" t="inlineStr">
        <is>
          <t>义乌</t>
        </is>
      </c>
      <c r="G162" s="1" t="inlineStr">
        <is>
          <t>XMI3</t>
        </is>
      </c>
      <c r="H162" s="114" t="n">
        <v>10.28</v>
      </c>
      <c r="I162" s="1" t="inlineStr">
        <is>
          <t>Y-A4SAV</t>
        </is>
      </c>
      <c r="J162" s="114" t="n">
        <v>0</v>
      </c>
    </row>
    <row r="163">
      <c r="B163" s="1" t="inlineStr">
        <is>
          <t>XPB2</t>
        </is>
      </c>
      <c r="F163" s="1" t="inlineStr">
        <is>
          <t>义乌</t>
        </is>
      </c>
      <c r="G163" s="1" t="inlineStr">
        <is>
          <t>XPB2</t>
        </is>
      </c>
      <c r="H163" s="114" t="n">
        <v>10.28</v>
      </c>
      <c r="I163" s="1" t="inlineStr">
        <is>
          <t>Y-A4SAV</t>
        </is>
      </c>
      <c r="J163" s="114" t="n">
        <v>0</v>
      </c>
    </row>
    <row r="164">
      <c r="B164" s="1" t="inlineStr">
        <is>
          <t>XPH1</t>
        </is>
      </c>
      <c r="F164" s="1" t="inlineStr">
        <is>
          <t>义乌</t>
        </is>
      </c>
      <c r="G164" s="1" t="inlineStr">
        <is>
          <t>XPH1</t>
        </is>
      </c>
      <c r="H164" s="114" t="n">
        <v>10.68</v>
      </c>
      <c r="I164" s="1" t="inlineStr">
        <is>
          <t>Y-A4NY</t>
        </is>
      </c>
      <c r="J164" s="114" t="n">
        <v>0</v>
      </c>
    </row>
    <row r="165">
      <c r="B165" s="1" t="inlineStr">
        <is>
          <t>XRI3</t>
        </is>
      </c>
      <c r="F165" s="1" t="inlineStr">
        <is>
          <t>义乌</t>
        </is>
      </c>
      <c r="G165" s="1" t="inlineStr">
        <is>
          <t>XRI3</t>
        </is>
      </c>
      <c r="H165" s="114" t="n">
        <v>10.18</v>
      </c>
      <c r="I165" s="1" t="inlineStr">
        <is>
          <t>Y-A4NY</t>
        </is>
      </c>
      <c r="J165" s="114" t="n">
        <v>0</v>
      </c>
    </row>
    <row r="166">
      <c r="B166" s="1" t="inlineStr">
        <is>
          <t>XYY1</t>
        </is>
      </c>
      <c r="F166" s="1" t="inlineStr">
        <is>
          <t>义乌</t>
        </is>
      </c>
      <c r="G166" s="1" t="inlineStr">
        <is>
          <t>XYY1</t>
        </is>
      </c>
      <c r="H166" s="114" t="n">
        <v>9.279999999999999</v>
      </c>
      <c r="I166" s="1" t="inlineStr">
        <is>
          <t>Y-X1-专线(多伦多)</t>
        </is>
      </c>
      <c r="J166" s="114" t="n">
        <v>1</v>
      </c>
    </row>
    <row r="167">
      <c r="B167" s="1" t="inlineStr">
        <is>
          <t>XYY3</t>
        </is>
      </c>
      <c r="F167" s="1" t="inlineStr">
        <is>
          <t>义乌</t>
        </is>
      </c>
      <c r="G167" s="1" t="inlineStr">
        <is>
          <t>XYY3</t>
        </is>
      </c>
      <c r="H167" s="114" t="n">
        <v>11.08</v>
      </c>
      <c r="I167" s="1" t="inlineStr">
        <is>
          <t>Y-X1-专线(温尼伯)</t>
        </is>
      </c>
      <c r="J167" s="114" t="n">
        <v>1</v>
      </c>
    </row>
    <row r="168">
      <c r="B168" s="1" t="inlineStr">
        <is>
          <t>XYY4</t>
        </is>
      </c>
      <c r="F168" s="1" t="inlineStr">
        <is>
          <t>义乌</t>
        </is>
      </c>
      <c r="G168" s="1" t="inlineStr">
        <is>
          <t>XYY4</t>
        </is>
      </c>
      <c r="H168" s="114" t="n">
        <v>9.279999999999999</v>
      </c>
      <c r="I168" s="1" t="inlineStr">
        <is>
          <t>Y-X1-专线(多伦多)</t>
        </is>
      </c>
      <c r="J168" s="114" t="n">
        <v>1</v>
      </c>
    </row>
    <row r="169">
      <c r="B169" s="1" t="inlineStr">
        <is>
          <t>YEG1</t>
        </is>
      </c>
      <c r="F169" s="1" t="inlineStr">
        <is>
          <t>义乌</t>
        </is>
      </c>
      <c r="G169" s="1" t="inlineStr">
        <is>
          <t>YEG1</t>
        </is>
      </c>
      <c r="H169" s="114" t="n">
        <v>8.98</v>
      </c>
      <c r="I169" s="1" t="inlineStr">
        <is>
          <t>Y-X1-专线(卡尔加里)</t>
        </is>
      </c>
      <c r="J169" s="114" t="n">
        <v>1</v>
      </c>
    </row>
    <row r="170">
      <c r="B170" s="1" t="inlineStr">
        <is>
          <t>YEG2</t>
        </is>
      </c>
      <c r="F170" s="1" t="inlineStr">
        <is>
          <t>义乌</t>
        </is>
      </c>
      <c r="G170" s="1" t="inlineStr">
        <is>
          <t>YEG2</t>
        </is>
      </c>
      <c r="H170" s="114" t="n">
        <v>8.98</v>
      </c>
      <c r="I170" s="1" t="inlineStr">
        <is>
          <t>Y-X1-专线(卡尔加里)</t>
        </is>
      </c>
      <c r="J170" s="114" t="n">
        <v>1</v>
      </c>
    </row>
    <row r="171">
      <c r="B171" s="1" t="inlineStr">
        <is>
          <t>YGK1</t>
        </is>
      </c>
      <c r="F171" s="1" t="inlineStr">
        <is>
          <t>义乌</t>
        </is>
      </c>
      <c r="G171" s="1" t="inlineStr">
        <is>
          <t>YGK1</t>
        </is>
      </c>
      <c r="H171" s="114" t="n">
        <v>9.48</v>
      </c>
      <c r="I171" s="1" t="inlineStr">
        <is>
          <t>Y-X1-专线(多伦多)</t>
        </is>
      </c>
      <c r="J171" s="114" t="n">
        <v>1</v>
      </c>
    </row>
    <row r="172">
      <c r="B172" s="1" t="inlineStr">
        <is>
          <t>YHM1</t>
        </is>
      </c>
      <c r="F172" s="1" t="inlineStr">
        <is>
          <t>义乌</t>
        </is>
      </c>
      <c r="G172" s="1" t="inlineStr">
        <is>
          <t>YHM1</t>
        </is>
      </c>
      <c r="H172" s="114" t="n">
        <v>9.279999999999999</v>
      </c>
      <c r="I172" s="1" t="inlineStr">
        <is>
          <t>Y-X1-专线(多伦多)</t>
        </is>
      </c>
      <c r="J172" s="114" t="n">
        <v>1</v>
      </c>
    </row>
    <row r="173">
      <c r="B173" s="1" t="inlineStr">
        <is>
          <t>YOO1</t>
        </is>
      </c>
      <c r="F173" s="1" t="inlineStr">
        <is>
          <t>义乌</t>
        </is>
      </c>
      <c r="G173" s="1" t="inlineStr">
        <is>
          <t>YOO1</t>
        </is>
      </c>
      <c r="H173" s="114" t="n">
        <v>9.279999999999999</v>
      </c>
      <c r="I173" s="1" t="inlineStr">
        <is>
          <t>Y-X1-专线(多伦多)</t>
        </is>
      </c>
      <c r="J173" s="114" t="n">
        <v>1</v>
      </c>
    </row>
    <row r="174">
      <c r="B174" s="1" t="inlineStr">
        <is>
          <t>YOW1</t>
        </is>
      </c>
      <c r="F174" s="1" t="inlineStr">
        <is>
          <t>义乌</t>
        </is>
      </c>
      <c r="G174" s="1" t="inlineStr">
        <is>
          <t>YOW1</t>
        </is>
      </c>
      <c r="H174" s="114" t="n">
        <v>9.48</v>
      </c>
      <c r="I174" s="1" t="inlineStr">
        <is>
          <t>Y-X1-专线(多伦多)</t>
        </is>
      </c>
      <c r="J174" s="114" t="n">
        <v>1</v>
      </c>
    </row>
    <row r="175">
      <c r="B175" s="1" t="inlineStr">
        <is>
          <t>YOW3</t>
        </is>
      </c>
      <c r="F175" s="1" t="inlineStr">
        <is>
          <t>义乌</t>
        </is>
      </c>
      <c r="G175" s="1" t="inlineStr">
        <is>
          <t>YOW3</t>
        </is>
      </c>
      <c r="H175" s="114" t="n">
        <v>9.48</v>
      </c>
      <c r="I175" s="1" t="inlineStr">
        <is>
          <t>Y-X1-专线(多伦多)</t>
        </is>
      </c>
      <c r="J175" s="114" t="n">
        <v>1</v>
      </c>
    </row>
    <row r="176">
      <c r="B176" s="1" t="inlineStr">
        <is>
          <t>YVR1</t>
        </is>
      </c>
      <c r="F176" s="1" t="inlineStr">
        <is>
          <t>义乌</t>
        </is>
      </c>
      <c r="G176" s="1" t="inlineStr">
        <is>
          <t>YVR1</t>
        </is>
      </c>
      <c r="H176" s="114" t="n">
        <v>9.880000000000001</v>
      </c>
      <c r="I176" s="1" t="inlineStr">
        <is>
          <t>Y-X1-专线(温哥华)</t>
        </is>
      </c>
      <c r="J176" s="114" t="n">
        <v>1</v>
      </c>
    </row>
    <row r="177">
      <c r="B177" s="1" t="inlineStr">
        <is>
          <t>YVR2</t>
        </is>
      </c>
      <c r="F177" s="1" t="inlineStr">
        <is>
          <t>义乌</t>
        </is>
      </c>
      <c r="G177" s="1" t="inlineStr">
        <is>
          <t>YVR2</t>
        </is>
      </c>
      <c r="H177" s="114" t="n">
        <v>9.880000000000001</v>
      </c>
      <c r="I177" s="1" t="inlineStr">
        <is>
          <t>Y-X1-专线(温哥华)</t>
        </is>
      </c>
      <c r="J177" s="114" t="n">
        <v>1</v>
      </c>
    </row>
    <row r="178">
      <c r="B178" s="1" t="inlineStr">
        <is>
          <t>YVR3</t>
        </is>
      </c>
      <c r="F178" s="1" t="inlineStr">
        <is>
          <t>义乌</t>
        </is>
      </c>
      <c r="G178" s="1" t="inlineStr">
        <is>
          <t>YVR3</t>
        </is>
      </c>
      <c r="H178" s="114" t="n">
        <v>9.880000000000001</v>
      </c>
      <c r="I178" s="1" t="inlineStr">
        <is>
          <t>Y-X1-专线(温哥华)</t>
        </is>
      </c>
      <c r="J178" s="114" t="n">
        <v>1</v>
      </c>
    </row>
    <row r="179">
      <c r="B179" s="1" t="inlineStr">
        <is>
          <t>YVR4</t>
        </is>
      </c>
      <c r="F179" s="1" t="inlineStr">
        <is>
          <t>义乌</t>
        </is>
      </c>
      <c r="G179" s="1" t="inlineStr">
        <is>
          <t>YVR4</t>
        </is>
      </c>
      <c r="H179" s="114" t="n">
        <v>9.880000000000001</v>
      </c>
      <c r="I179" s="1" t="inlineStr">
        <is>
          <t>Y-X1-专线(温哥华)</t>
        </is>
      </c>
      <c r="J179" s="114" t="n">
        <v>1</v>
      </c>
    </row>
    <row r="180">
      <c r="B180" s="1" t="inlineStr">
        <is>
          <t>YXU1</t>
        </is>
      </c>
      <c r="F180" s="1" t="inlineStr">
        <is>
          <t>义乌</t>
        </is>
      </c>
      <c r="G180" s="1" t="inlineStr">
        <is>
          <t>YXU1</t>
        </is>
      </c>
      <c r="H180" s="114" t="n">
        <v>9.279999999999999</v>
      </c>
      <c r="I180" s="1" t="inlineStr">
        <is>
          <t>Y-X1-专线(多伦多)</t>
        </is>
      </c>
      <c r="J180" s="114" t="n">
        <v>1</v>
      </c>
    </row>
    <row r="181">
      <c r="B181" s="1" t="inlineStr">
        <is>
          <t>YXX2</t>
        </is>
      </c>
      <c r="F181" s="1" t="inlineStr">
        <is>
          <t>义乌</t>
        </is>
      </c>
      <c r="G181" s="1" t="inlineStr">
        <is>
          <t>YXX2</t>
        </is>
      </c>
      <c r="H181" s="114" t="n">
        <v>9.880000000000001</v>
      </c>
      <c r="I181" s="1" t="inlineStr">
        <is>
          <t>Y-X1-专线(温哥华)</t>
        </is>
      </c>
      <c r="J181" s="114" t="n">
        <v>1</v>
      </c>
    </row>
    <row r="182">
      <c r="B182" s="1" t="inlineStr">
        <is>
          <t>YYC1</t>
        </is>
      </c>
      <c r="F182" s="1" t="inlineStr">
        <is>
          <t>义乌</t>
        </is>
      </c>
      <c r="G182" s="1" t="inlineStr">
        <is>
          <t>YYC1</t>
        </is>
      </c>
      <c r="H182" s="114" t="n">
        <v>8.68</v>
      </c>
      <c r="I182" s="1" t="inlineStr">
        <is>
          <t>Y-X1-专线(卡尔加里)</t>
        </is>
      </c>
      <c r="J182" s="114" t="n">
        <v>1</v>
      </c>
    </row>
    <row r="183">
      <c r="B183" s="1" t="inlineStr">
        <is>
          <t>YYC4</t>
        </is>
      </c>
      <c r="F183" s="1" t="inlineStr">
        <is>
          <t>义乌</t>
        </is>
      </c>
      <c r="G183" s="1" t="inlineStr">
        <is>
          <t>YYC4</t>
        </is>
      </c>
      <c r="H183" s="114" t="n">
        <v>8.68</v>
      </c>
      <c r="I183" s="1" t="inlineStr">
        <is>
          <t>Y-X1-专线(卡尔加里)</t>
        </is>
      </c>
      <c r="J183" s="114" t="n">
        <v>1</v>
      </c>
    </row>
    <row r="184">
      <c r="B184" s="1" t="inlineStr">
        <is>
          <t>YYC6</t>
        </is>
      </c>
      <c r="F184" s="1" t="inlineStr">
        <is>
          <t>义乌</t>
        </is>
      </c>
      <c r="G184" s="1" t="inlineStr">
        <is>
          <t>YYC6</t>
        </is>
      </c>
      <c r="H184" s="114" t="n">
        <v>8.68</v>
      </c>
      <c r="I184" s="1" t="inlineStr">
        <is>
          <t>Y-X1-专线(卡尔加里)</t>
        </is>
      </c>
      <c r="J184" s="114" t="n">
        <v>1</v>
      </c>
    </row>
    <row r="185">
      <c r="B185" s="1" t="inlineStr">
        <is>
          <t>YYZ1</t>
        </is>
      </c>
      <c r="F185" s="1" t="inlineStr">
        <is>
          <t>义乌</t>
        </is>
      </c>
      <c r="G185" s="1" t="inlineStr">
        <is>
          <t>YYZ1</t>
        </is>
      </c>
      <c r="H185" s="114" t="n">
        <v>8.98</v>
      </c>
      <c r="I185" s="1" t="inlineStr">
        <is>
          <t>Y-X1-专线(多伦多)</t>
        </is>
      </c>
      <c r="J185" s="114" t="n">
        <v>1</v>
      </c>
    </row>
    <row r="186">
      <c r="B186" s="1" t="inlineStr">
        <is>
          <t>YYZ3</t>
        </is>
      </c>
      <c r="F186" s="1" t="inlineStr">
        <is>
          <t>义乌</t>
        </is>
      </c>
      <c r="G186" s="1" t="inlineStr">
        <is>
          <t>YYZ3</t>
        </is>
      </c>
      <c r="H186" s="114" t="n">
        <v>8.98</v>
      </c>
      <c r="I186" s="1" t="inlineStr">
        <is>
          <t>Y-X1-专线(多伦多)</t>
        </is>
      </c>
      <c r="J186" s="114" t="n">
        <v>1</v>
      </c>
    </row>
    <row r="187">
      <c r="B187" s="1" t="inlineStr">
        <is>
          <t>YYZ4</t>
        </is>
      </c>
      <c r="F187" s="1" t="inlineStr">
        <is>
          <t>义乌</t>
        </is>
      </c>
      <c r="G187" s="1" t="inlineStr">
        <is>
          <t>YYZ4</t>
        </is>
      </c>
      <c r="H187" s="114" t="n">
        <v>8.98</v>
      </c>
      <c r="I187" s="1" t="inlineStr">
        <is>
          <t>Y-X1-专线(多伦多)</t>
        </is>
      </c>
      <c r="J187" s="114" t="n">
        <v>1</v>
      </c>
    </row>
    <row r="188">
      <c r="B188" s="1" t="inlineStr">
        <is>
          <t>YYZ6</t>
        </is>
      </c>
      <c r="F188" s="1" t="inlineStr">
        <is>
          <t>义乌</t>
        </is>
      </c>
      <c r="G188" s="1" t="inlineStr">
        <is>
          <t>YYZ6</t>
        </is>
      </c>
      <c r="H188" s="114" t="n">
        <v>8.98</v>
      </c>
      <c r="I188" s="1" t="inlineStr">
        <is>
          <t>Y-X1-专线(多伦多)</t>
        </is>
      </c>
      <c r="J188" s="114" t="n">
        <v>1</v>
      </c>
    </row>
    <row r="189">
      <c r="B189" s="1" t="inlineStr">
        <is>
          <t>YYZ7</t>
        </is>
      </c>
      <c r="F189" s="1" t="inlineStr">
        <is>
          <t>义乌</t>
        </is>
      </c>
      <c r="G189" s="1" t="inlineStr">
        <is>
          <t>YYZ7</t>
        </is>
      </c>
      <c r="H189" s="114" t="n">
        <v>8.98</v>
      </c>
      <c r="I189" s="1" t="inlineStr">
        <is>
          <t>Y-X1-专线(多伦多)</t>
        </is>
      </c>
      <c r="J189" s="114" t="n">
        <v>1</v>
      </c>
    </row>
    <row r="190">
      <c r="B190" s="1" t="inlineStr">
        <is>
          <t>YYZ9</t>
        </is>
      </c>
      <c r="F190" s="1" t="inlineStr">
        <is>
          <t>义乌</t>
        </is>
      </c>
      <c r="G190" s="1" t="inlineStr">
        <is>
          <t>YYZ9</t>
        </is>
      </c>
      <c r="H190" s="114" t="n">
        <v>8.98</v>
      </c>
      <c r="I190" s="1" t="inlineStr">
        <is>
          <t>Y-X1-专线(多伦多)</t>
        </is>
      </c>
      <c r="J190" s="114" t="n">
        <v>1</v>
      </c>
    </row>
    <row r="191">
      <c r="B191" s="1" t="inlineStr">
        <is>
          <t>凯琦美西仓</t>
        </is>
      </c>
      <c r="F191" s="1" t="inlineStr">
        <is>
          <t>义乌</t>
        </is>
      </c>
      <c r="G191" s="1" t="inlineStr">
        <is>
          <t>凯琦美西仓</t>
        </is>
      </c>
      <c r="H191" s="114" t="n">
        <v>7.98</v>
      </c>
      <c r="I191" s="1" t="inlineStr">
        <is>
          <t>Y-A4-专线</t>
        </is>
      </c>
      <c r="J191" s="114" t="n">
        <v>0</v>
      </c>
    </row>
    <row r="192">
      <c r="B192" s="1" t="inlineStr">
        <is>
          <t>商业地址</t>
        </is>
      </c>
      <c r="F192" s="1" t="inlineStr">
        <is>
          <t>义乌</t>
        </is>
      </c>
      <c r="G192" s="1" t="inlineStr">
        <is>
          <t>商业地址</t>
        </is>
      </c>
      <c r="H192" s="114" t="n">
        <v>9.58</v>
      </c>
      <c r="I192" s="1" t="inlineStr">
        <is>
          <t>Y-X1-专线(多伦多)</t>
        </is>
      </c>
      <c r="J192" s="114" t="n">
        <v>1</v>
      </c>
    </row>
    <row r="193">
      <c r="B193" s="1" t="inlineStr">
        <is>
          <t>美国东岸(邮编0.1.2.3.4开头)</t>
        </is>
      </c>
      <c r="F193" s="1" t="inlineStr">
        <is>
          <t>义乌</t>
        </is>
      </c>
      <c r="G193" s="1" t="inlineStr">
        <is>
          <t>美国东岸(邮编0.1.2.3.4开头)</t>
        </is>
      </c>
      <c r="H193" s="114" t="n">
        <v>16.18</v>
      </c>
      <c r="I193" s="1" t="inlineStr">
        <is>
          <t>Y-718海派</t>
        </is>
      </c>
      <c r="J193" s="114" t="n">
        <v>0</v>
      </c>
    </row>
    <row r="194">
      <c r="B194" s="1" t="inlineStr">
        <is>
          <t>美国中部(邮编5.6.7开头)</t>
        </is>
      </c>
      <c r="F194" s="1" t="inlineStr">
        <is>
          <t>义乌</t>
        </is>
      </c>
      <c r="G194" s="1" t="inlineStr">
        <is>
          <t>美国中部(邮编5.6.7开头)</t>
        </is>
      </c>
      <c r="H194" s="114" t="n">
        <v>14.68</v>
      </c>
      <c r="I194" s="1" t="inlineStr">
        <is>
          <t>Y-718海派</t>
        </is>
      </c>
      <c r="J194" s="114" t="n">
        <v>0</v>
      </c>
    </row>
    <row r="195">
      <c r="B195" s="1" t="inlineStr">
        <is>
          <t>美国西岸北（邮编97.98.99开头）</t>
        </is>
      </c>
      <c r="F195" s="1" t="inlineStr">
        <is>
          <t>义乌</t>
        </is>
      </c>
      <c r="G195" s="1" t="inlineStr">
        <is>
          <t>美国西岸北（邮编97.98.99开头）</t>
        </is>
      </c>
      <c r="H195" s="114" t="n">
        <v>13.18</v>
      </c>
      <c r="I195" s="1" t="inlineStr">
        <is>
          <t>Y-718海派</t>
        </is>
      </c>
      <c r="J195" s="114" t="n">
        <v>0</v>
      </c>
    </row>
    <row r="196">
      <c r="F196" s="1" t="inlineStr">
        <is>
          <t>青岛</t>
        </is>
      </c>
      <c r="G196" s="1" t="inlineStr">
        <is>
          <t>ABE3</t>
        </is>
      </c>
      <c r="H196" s="114" t="n">
        <v>9.68</v>
      </c>
      <c r="I196" s="1" t="inlineStr">
        <is>
          <t>Q15纽约海卡</t>
        </is>
      </c>
      <c r="J196" s="114" t="n">
        <v>0</v>
      </c>
    </row>
    <row r="197">
      <c r="F197" s="1" t="inlineStr">
        <is>
          <t>青岛</t>
        </is>
      </c>
      <c r="G197" s="1" t="inlineStr">
        <is>
          <t>ABE4</t>
        </is>
      </c>
      <c r="H197" s="114" t="n">
        <v>9.68</v>
      </c>
      <c r="I197" s="1" t="inlineStr">
        <is>
          <t>Q15纽约海卡</t>
        </is>
      </c>
      <c r="J197" s="114" t="n">
        <v>0</v>
      </c>
    </row>
    <row r="198">
      <c r="F198" s="1" t="inlineStr">
        <is>
          <t>青岛</t>
        </is>
      </c>
      <c r="G198" s="1" t="inlineStr">
        <is>
          <t>ABE8</t>
        </is>
      </c>
      <c r="H198" s="114" t="n">
        <v>9.58</v>
      </c>
      <c r="I198" s="1" t="inlineStr">
        <is>
          <t>Q15纽约海卡</t>
        </is>
      </c>
      <c r="J198" s="114" t="n">
        <v>0</v>
      </c>
    </row>
    <row r="199">
      <c r="F199" s="1" t="inlineStr">
        <is>
          <t>青岛</t>
        </is>
      </c>
      <c r="G199" s="1" t="inlineStr">
        <is>
          <t>ABQ2</t>
        </is>
      </c>
      <c r="H199" s="114" t="n">
        <v>10.58</v>
      </c>
      <c r="I199" s="1" t="inlineStr">
        <is>
          <t>Q-718专线</t>
        </is>
      </c>
      <c r="J199" s="114" t="n">
        <v>0</v>
      </c>
    </row>
    <row r="200">
      <c r="F200" s="1" t="inlineStr">
        <is>
          <t>青岛</t>
        </is>
      </c>
      <c r="G200" s="1" t="inlineStr">
        <is>
          <t>ACY2</t>
        </is>
      </c>
      <c r="H200" s="114" t="n">
        <v>9.58</v>
      </c>
      <c r="I200" s="1" t="inlineStr">
        <is>
          <t>Q15纽约海卡</t>
        </is>
      </c>
      <c r="J200" s="114" t="n">
        <v>0</v>
      </c>
    </row>
    <row r="201">
      <c r="F201" s="1" t="inlineStr">
        <is>
          <t>青岛</t>
        </is>
      </c>
      <c r="G201" s="1" t="inlineStr">
        <is>
          <t>AKR1</t>
        </is>
      </c>
      <c r="H201" s="114" t="n">
        <v>10.58</v>
      </c>
      <c r="I201" s="1" t="inlineStr">
        <is>
          <t>Q15纽约海卡</t>
        </is>
      </c>
      <c r="J201" s="114" t="n">
        <v>0</v>
      </c>
    </row>
    <row r="202">
      <c r="F202" s="1" t="inlineStr">
        <is>
          <t>青岛</t>
        </is>
      </c>
      <c r="G202" s="1" t="inlineStr">
        <is>
          <t>ALB1</t>
        </is>
      </c>
      <c r="H202" s="114" t="n">
        <v>10.18</v>
      </c>
      <c r="I202" s="1" t="inlineStr">
        <is>
          <t>Q15纽约海卡</t>
        </is>
      </c>
      <c r="J202" s="114" t="n">
        <v>0</v>
      </c>
    </row>
    <row r="203">
      <c r="F203" s="1" t="inlineStr">
        <is>
          <t>青岛</t>
        </is>
      </c>
      <c r="G203" s="1" t="inlineStr">
        <is>
          <t>AVP1</t>
        </is>
      </c>
      <c r="H203" s="114" t="n">
        <v>9.880000000000001</v>
      </c>
      <c r="I203" s="1" t="inlineStr">
        <is>
          <t>Q15纽约海卡</t>
        </is>
      </c>
      <c r="J203" s="114" t="n">
        <v>0</v>
      </c>
    </row>
    <row r="204">
      <c r="F204" s="1" t="inlineStr">
        <is>
          <t>青岛</t>
        </is>
      </c>
      <c r="G204" s="1" t="inlineStr">
        <is>
          <t>AVP9</t>
        </is>
      </c>
      <c r="H204" s="114" t="n">
        <v>9.880000000000001</v>
      </c>
      <c r="I204" s="1" t="inlineStr">
        <is>
          <t>Q15纽约海卡</t>
        </is>
      </c>
      <c r="J204" s="114" t="n">
        <v>0</v>
      </c>
    </row>
    <row r="205">
      <c r="F205" s="1" t="inlineStr">
        <is>
          <t>青岛</t>
        </is>
      </c>
      <c r="G205" s="1" t="inlineStr">
        <is>
          <t>BDL6</t>
        </is>
      </c>
      <c r="H205" s="114" t="n">
        <v>10.38</v>
      </c>
      <c r="I205" s="1" t="inlineStr">
        <is>
          <t>Q15纽约海卡</t>
        </is>
      </c>
      <c r="J205" s="114" t="n">
        <v>0</v>
      </c>
    </row>
    <row r="206">
      <c r="F206" s="1" t="inlineStr">
        <is>
          <t>青岛</t>
        </is>
      </c>
      <c r="G206" s="1" t="inlineStr">
        <is>
          <t>BJC1</t>
        </is>
      </c>
      <c r="H206" s="114" t="n">
        <v>12.38</v>
      </c>
      <c r="I206" s="1" t="inlineStr">
        <is>
          <t>Q-718专线</t>
        </is>
      </c>
      <c r="J206" s="114" t="n">
        <v>0</v>
      </c>
    </row>
    <row r="207">
      <c r="F207" s="1" t="inlineStr">
        <is>
          <t>青岛</t>
        </is>
      </c>
      <c r="G207" s="1" t="inlineStr">
        <is>
          <t>BNA2</t>
        </is>
      </c>
      <c r="H207" s="114" t="n">
        <v>11.08</v>
      </c>
      <c r="I207" s="1" t="inlineStr">
        <is>
          <t>Q15纽约海卡</t>
        </is>
      </c>
      <c r="J207" s="114" t="n">
        <v>0</v>
      </c>
    </row>
    <row r="208">
      <c r="F208" s="1" t="inlineStr">
        <is>
          <t>青岛</t>
        </is>
      </c>
      <c r="G208" s="1" t="inlineStr">
        <is>
          <t>BNA6</t>
        </is>
      </c>
      <c r="H208" s="114" t="n">
        <v>11.08</v>
      </c>
      <c r="I208" s="1" t="inlineStr">
        <is>
          <t>Q15纽约海卡</t>
        </is>
      </c>
      <c r="J208" s="114" t="n">
        <v>0</v>
      </c>
    </row>
    <row r="209">
      <c r="F209" s="1" t="inlineStr">
        <is>
          <t>青岛</t>
        </is>
      </c>
      <c r="G209" s="1" t="inlineStr">
        <is>
          <t>BOS7</t>
        </is>
      </c>
      <c r="H209" s="114" t="n">
        <v>10.38</v>
      </c>
      <c r="I209" s="1" t="inlineStr">
        <is>
          <t>Q15纽约海卡</t>
        </is>
      </c>
      <c r="J209" s="114" t="n">
        <v>0</v>
      </c>
    </row>
    <row r="210">
      <c r="F210" s="1" t="inlineStr">
        <is>
          <t>青岛</t>
        </is>
      </c>
      <c r="G210" s="1" t="inlineStr">
        <is>
          <t>BWI4</t>
        </is>
      </c>
      <c r="H210" s="114" t="n">
        <v>10.38</v>
      </c>
      <c r="I210" s="1" t="inlineStr">
        <is>
          <t>Q15纽约海卡</t>
        </is>
      </c>
      <c r="J210" s="114" t="n">
        <v>0</v>
      </c>
    </row>
    <row r="211">
      <c r="F211" s="1" t="inlineStr">
        <is>
          <t>青岛</t>
        </is>
      </c>
      <c r="G211" s="1" t="inlineStr">
        <is>
          <t>CHA2</t>
        </is>
      </c>
      <c r="H211" s="114" t="n">
        <v>11.08</v>
      </c>
      <c r="I211" s="1" t="inlineStr">
        <is>
          <t>Q15纽约海卡</t>
        </is>
      </c>
      <c r="J211" s="114" t="n">
        <v>0</v>
      </c>
    </row>
    <row r="212">
      <c r="F212" s="1" t="inlineStr">
        <is>
          <t>青岛</t>
        </is>
      </c>
      <c r="G212" s="1" t="inlineStr">
        <is>
          <t>CHO1</t>
        </is>
      </c>
      <c r="H212" s="114" t="n">
        <v>10.38</v>
      </c>
      <c r="I212" s="1" t="inlineStr">
        <is>
          <t>Q15纽约海卡</t>
        </is>
      </c>
      <c r="J212" s="114" t="n">
        <v>0</v>
      </c>
    </row>
    <row r="213">
      <c r="F213" s="1" t="inlineStr">
        <is>
          <t>青岛</t>
        </is>
      </c>
      <c r="G213" s="1" t="inlineStr">
        <is>
          <t>CLT2</t>
        </is>
      </c>
      <c r="H213" s="114" t="n">
        <v>10.58</v>
      </c>
      <c r="I213" s="1" t="inlineStr">
        <is>
          <t>Q15纽约海卡</t>
        </is>
      </c>
      <c r="J213" s="114" t="n">
        <v>0</v>
      </c>
    </row>
    <row r="214">
      <c r="F214" s="1" t="inlineStr">
        <is>
          <t>青岛</t>
        </is>
      </c>
      <c r="G214" s="1" t="inlineStr">
        <is>
          <t>CLT6</t>
        </is>
      </c>
      <c r="H214" s="114" t="n">
        <v>10.78</v>
      </c>
      <c r="I214" s="1" t="inlineStr">
        <is>
          <t>Q15纽约海卡</t>
        </is>
      </c>
      <c r="J214" s="114" t="n">
        <v>0</v>
      </c>
    </row>
    <row r="215">
      <c r="F215" s="1" t="inlineStr">
        <is>
          <t>青岛</t>
        </is>
      </c>
      <c r="G215" s="1" t="inlineStr">
        <is>
          <t>CMH2</t>
        </is>
      </c>
      <c r="H215" s="114" t="n">
        <v>10.78</v>
      </c>
      <c r="I215" s="1" t="inlineStr">
        <is>
          <t>Q15纽约海卡</t>
        </is>
      </c>
      <c r="J215" s="114" t="n">
        <v>0</v>
      </c>
    </row>
    <row r="216">
      <c r="F216" s="1" t="inlineStr">
        <is>
          <t>青岛</t>
        </is>
      </c>
      <c r="G216" s="1" t="inlineStr">
        <is>
          <t>CMH3</t>
        </is>
      </c>
      <c r="H216" s="114" t="n">
        <v>10.78</v>
      </c>
      <c r="I216" s="1" t="inlineStr">
        <is>
          <t>Q15纽约海卡</t>
        </is>
      </c>
      <c r="J216" s="114" t="n">
        <v>0</v>
      </c>
    </row>
    <row r="217">
      <c r="F217" s="1" t="inlineStr">
        <is>
          <t>青岛</t>
        </is>
      </c>
      <c r="G217" s="1" t="inlineStr">
        <is>
          <t>DCA6</t>
        </is>
      </c>
      <c r="H217" s="114" t="n">
        <v>10.08</v>
      </c>
      <c r="I217" s="1" t="inlineStr">
        <is>
          <t>Q15纽约海卡</t>
        </is>
      </c>
      <c r="J217" s="114" t="n">
        <v>0</v>
      </c>
    </row>
    <row r="218">
      <c r="F218" s="1" t="inlineStr">
        <is>
          <t>青岛</t>
        </is>
      </c>
      <c r="G218" s="1" t="inlineStr">
        <is>
          <t>DEN8</t>
        </is>
      </c>
      <c r="H218" s="114" t="n">
        <v>12.38</v>
      </c>
      <c r="I218" s="1" t="inlineStr">
        <is>
          <t>Q-718专线</t>
        </is>
      </c>
      <c r="J218" s="114" t="n">
        <v>0</v>
      </c>
    </row>
    <row r="219">
      <c r="F219" s="1" t="inlineStr">
        <is>
          <t>青岛</t>
        </is>
      </c>
      <c r="G219" s="1" t="inlineStr">
        <is>
          <t>FAT2</t>
        </is>
      </c>
      <c r="H219" s="114" t="n">
        <v>9.58</v>
      </c>
      <c r="I219" s="1" t="inlineStr">
        <is>
          <t>Q-718专线</t>
        </is>
      </c>
      <c r="J219" s="114" t="n">
        <v>0</v>
      </c>
    </row>
    <row r="220">
      <c r="F220" s="1" t="inlineStr">
        <is>
          <t>青岛</t>
        </is>
      </c>
      <c r="G220" s="1" t="inlineStr">
        <is>
          <t>FTW1</t>
        </is>
      </c>
      <c r="H220" s="114" t="n">
        <v>12.28</v>
      </c>
      <c r="I220" s="1" t="inlineStr">
        <is>
          <t>Q-718专线</t>
        </is>
      </c>
      <c r="J220" s="114" t="n">
        <v>0</v>
      </c>
    </row>
    <row r="221">
      <c r="F221" s="1" t="inlineStr">
        <is>
          <t>青岛</t>
        </is>
      </c>
      <c r="G221" s="1" t="inlineStr">
        <is>
          <t>FWA4</t>
        </is>
      </c>
      <c r="H221" s="114" t="n">
        <v>13.08</v>
      </c>
      <c r="I221" s="1" t="inlineStr">
        <is>
          <t>Q-718专线</t>
        </is>
      </c>
      <c r="J221" s="114" t="n">
        <v>0</v>
      </c>
    </row>
    <row r="222">
      <c r="F222" s="1" t="inlineStr">
        <is>
          <t>青岛</t>
        </is>
      </c>
      <c r="G222" s="1" t="inlineStr">
        <is>
          <t>GEG2</t>
        </is>
      </c>
      <c r="H222" s="114" t="n">
        <v>13.78</v>
      </c>
      <c r="I222" s="1" t="inlineStr">
        <is>
          <t>Q-718专线</t>
        </is>
      </c>
      <c r="J222" s="114" t="n">
        <v>0</v>
      </c>
    </row>
    <row r="223">
      <c r="F223" s="1" t="inlineStr">
        <is>
          <t>青岛</t>
        </is>
      </c>
      <c r="G223" s="1" t="inlineStr">
        <is>
          <t>GEU2</t>
        </is>
      </c>
      <c r="H223" s="114" t="n">
        <v>9.58</v>
      </c>
      <c r="I223" s="1" t="inlineStr">
        <is>
          <t>Q-718专线</t>
        </is>
      </c>
      <c r="J223" s="114" t="n">
        <v>0</v>
      </c>
    </row>
    <row r="224">
      <c r="F224" s="1" t="inlineStr">
        <is>
          <t>青岛</t>
        </is>
      </c>
      <c r="G224" s="1" t="inlineStr">
        <is>
          <t>GEU3</t>
        </is>
      </c>
      <c r="H224" s="114" t="n">
        <v>9.58</v>
      </c>
      <c r="I224" s="1" t="inlineStr">
        <is>
          <t>Q-718专线</t>
        </is>
      </c>
      <c r="J224" s="114" t="n">
        <v>0</v>
      </c>
    </row>
    <row r="225">
      <c r="F225" s="1" t="inlineStr">
        <is>
          <t>青岛</t>
        </is>
      </c>
      <c r="G225" s="1" t="inlineStr">
        <is>
          <t>GSO1</t>
        </is>
      </c>
      <c r="H225" s="114" t="n">
        <v>10.58</v>
      </c>
      <c r="I225" s="1" t="inlineStr">
        <is>
          <t>Q15纽约海卡</t>
        </is>
      </c>
      <c r="J225" s="114" t="n">
        <v>0</v>
      </c>
    </row>
    <row r="226">
      <c r="F226" s="1" t="inlineStr">
        <is>
          <t>青岛</t>
        </is>
      </c>
      <c r="G226" s="1" t="inlineStr">
        <is>
          <t>GYR2</t>
        </is>
      </c>
      <c r="H226" s="114" t="n">
        <v>9.58</v>
      </c>
      <c r="I226" s="1" t="inlineStr">
        <is>
          <t>Q-718专线</t>
        </is>
      </c>
      <c r="J226" s="114" t="n">
        <v>0</v>
      </c>
    </row>
    <row r="227">
      <c r="F227" s="1" t="inlineStr">
        <is>
          <t>青岛</t>
        </is>
      </c>
      <c r="G227" s="1" t="inlineStr">
        <is>
          <t>GYR3</t>
        </is>
      </c>
      <c r="H227" s="114" t="n">
        <v>9.58</v>
      </c>
      <c r="I227" s="1" t="inlineStr">
        <is>
          <t>Q-718专线</t>
        </is>
      </c>
      <c r="J227" s="114" t="n">
        <v>0</v>
      </c>
    </row>
    <row r="228">
      <c r="F228" s="1" t="inlineStr">
        <is>
          <t>青岛</t>
        </is>
      </c>
      <c r="G228" s="1" t="inlineStr">
        <is>
          <t>HEA2</t>
        </is>
      </c>
      <c r="H228" s="114" t="n">
        <v>9.779999999999999</v>
      </c>
      <c r="I228" s="1" t="inlineStr">
        <is>
          <t>Q15纽约海卡</t>
        </is>
      </c>
      <c r="J228" s="114" t="n">
        <v>0</v>
      </c>
    </row>
    <row r="229">
      <c r="F229" s="1" t="inlineStr">
        <is>
          <t>青岛</t>
        </is>
      </c>
      <c r="G229" s="1" t="inlineStr">
        <is>
          <t>HGR2</t>
        </is>
      </c>
      <c r="H229" s="114" t="n">
        <v>10.28</v>
      </c>
      <c r="I229" s="1" t="inlineStr">
        <is>
          <t>Q15纽约海卡</t>
        </is>
      </c>
      <c r="J229" s="114" t="n">
        <v>0</v>
      </c>
    </row>
    <row r="230">
      <c r="F230" s="1" t="inlineStr">
        <is>
          <t>青岛</t>
        </is>
      </c>
      <c r="G230" s="1" t="inlineStr">
        <is>
          <t>HGR6</t>
        </is>
      </c>
      <c r="H230" s="114" t="n">
        <v>10.28</v>
      </c>
      <c r="I230" s="1" t="inlineStr">
        <is>
          <t>Q15纽约海卡</t>
        </is>
      </c>
      <c r="J230" s="114" t="n">
        <v>0</v>
      </c>
    </row>
    <row r="231">
      <c r="F231" s="1" t="inlineStr">
        <is>
          <t>青岛</t>
        </is>
      </c>
      <c r="G231" s="1" t="inlineStr">
        <is>
          <t>HIA1</t>
        </is>
      </c>
      <c r="H231" s="114" t="n">
        <v>10.18</v>
      </c>
      <c r="I231" s="1" t="inlineStr">
        <is>
          <t>Q15纽约海卡</t>
        </is>
      </c>
      <c r="J231" s="114" t="n">
        <v>0</v>
      </c>
    </row>
    <row r="232">
      <c r="F232" s="1" t="inlineStr">
        <is>
          <t>青岛</t>
        </is>
      </c>
      <c r="G232" s="1" t="inlineStr">
        <is>
          <t>HLI2</t>
        </is>
      </c>
      <c r="H232" s="114" t="n">
        <v>9.779999999999999</v>
      </c>
      <c r="I232" s="1" t="inlineStr">
        <is>
          <t>Q-718专线</t>
        </is>
      </c>
      <c r="J232" s="114" t="n">
        <v>0</v>
      </c>
    </row>
    <row r="233">
      <c r="F233" s="1" t="inlineStr">
        <is>
          <t>青岛</t>
        </is>
      </c>
      <c r="G233" s="1" t="inlineStr">
        <is>
          <t>HSV1</t>
        </is>
      </c>
      <c r="H233" s="114" t="n">
        <v>11.08</v>
      </c>
      <c r="I233" s="1" t="inlineStr">
        <is>
          <t>Q15纽约海卡</t>
        </is>
      </c>
      <c r="J233" s="114" t="n">
        <v>0</v>
      </c>
    </row>
    <row r="234">
      <c r="F234" s="1" t="inlineStr">
        <is>
          <t>青岛</t>
        </is>
      </c>
      <c r="G234" s="1" t="inlineStr">
        <is>
          <t>IAH3</t>
        </is>
      </c>
      <c r="H234" s="114" t="n">
        <v>12.38</v>
      </c>
      <c r="I234" s="1" t="inlineStr">
        <is>
          <t>Q-718专线</t>
        </is>
      </c>
      <c r="J234" s="114" t="n">
        <v>0</v>
      </c>
    </row>
    <row r="235">
      <c r="F235" s="1" t="inlineStr">
        <is>
          <t>青岛</t>
        </is>
      </c>
      <c r="G235" s="1" t="inlineStr">
        <is>
          <t>IAZ1</t>
        </is>
      </c>
      <c r="H235" s="114" t="n">
        <v>10.08</v>
      </c>
      <c r="I235" s="1" t="inlineStr">
        <is>
          <t>Q-718专线</t>
        </is>
      </c>
      <c r="J235" s="114" t="n">
        <v>0</v>
      </c>
    </row>
    <row r="236">
      <c r="F236" s="1" t="inlineStr">
        <is>
          <t>青岛</t>
        </is>
      </c>
      <c r="G236" s="1" t="inlineStr">
        <is>
          <t>ILG1</t>
        </is>
      </c>
      <c r="H236" s="114" t="n">
        <v>10.08</v>
      </c>
      <c r="I236" s="1" t="inlineStr">
        <is>
          <t>Q15纽约海卡</t>
        </is>
      </c>
      <c r="J236" s="114" t="n">
        <v>0</v>
      </c>
    </row>
    <row r="237">
      <c r="F237" s="1" t="inlineStr">
        <is>
          <t>青岛</t>
        </is>
      </c>
      <c r="G237" s="1" t="inlineStr">
        <is>
          <t>IND9</t>
        </is>
      </c>
      <c r="H237" s="114" t="n">
        <v>13.18</v>
      </c>
      <c r="I237" s="1" t="inlineStr">
        <is>
          <t>Q-718专线</t>
        </is>
      </c>
      <c r="J237" s="114" t="n">
        <v>0</v>
      </c>
    </row>
    <row r="238">
      <c r="F238" s="1" t="inlineStr">
        <is>
          <t>青岛</t>
        </is>
      </c>
      <c r="G238" s="1" t="inlineStr">
        <is>
          <t>IPA1</t>
        </is>
      </c>
      <c r="H238" s="114" t="n">
        <v>9.98</v>
      </c>
      <c r="I238" s="1" t="inlineStr">
        <is>
          <t>Q15纽约海卡</t>
        </is>
      </c>
      <c r="J238" s="114" t="n">
        <v>0</v>
      </c>
    </row>
    <row r="239">
      <c r="F239" s="1" t="inlineStr">
        <is>
          <t>青岛</t>
        </is>
      </c>
      <c r="G239" s="1" t="inlineStr">
        <is>
          <t>ITX3</t>
        </is>
      </c>
      <c r="H239" s="114" t="n">
        <v>12.28</v>
      </c>
      <c r="I239" s="1" t="inlineStr">
        <is>
          <t>Q-718专线</t>
        </is>
      </c>
      <c r="J239" s="114" t="n">
        <v>0</v>
      </c>
    </row>
    <row r="240">
      <c r="F240" s="1" t="inlineStr">
        <is>
          <t>青岛</t>
        </is>
      </c>
      <c r="G240" s="1" t="inlineStr">
        <is>
          <t>IUSJ</t>
        </is>
      </c>
      <c r="H240" s="114" t="n">
        <v>9.08</v>
      </c>
      <c r="I240" s="1" t="inlineStr">
        <is>
          <t>Q-718专线</t>
        </is>
      </c>
      <c r="J240" s="114" t="n">
        <v>0</v>
      </c>
    </row>
    <row r="241">
      <c r="F241" s="1" t="inlineStr">
        <is>
          <t>青岛</t>
        </is>
      </c>
      <c r="G241" s="1" t="inlineStr">
        <is>
          <t>IUSP</t>
        </is>
      </c>
      <c r="H241" s="114" t="n">
        <v>9.08</v>
      </c>
      <c r="I241" s="1" t="inlineStr">
        <is>
          <t>Q-718专线</t>
        </is>
      </c>
      <c r="J241" s="114" t="n">
        <v>0</v>
      </c>
    </row>
    <row r="242">
      <c r="F242" s="1" t="inlineStr">
        <is>
          <t>青岛</t>
        </is>
      </c>
      <c r="G242" s="1" t="inlineStr">
        <is>
          <t>IUSR</t>
        </is>
      </c>
      <c r="H242" s="114" t="n">
        <v>11.18</v>
      </c>
      <c r="I242" s="1" t="inlineStr">
        <is>
          <t>Q15纽约海卡</t>
        </is>
      </c>
      <c r="J242" s="114" t="n">
        <v>0</v>
      </c>
    </row>
    <row r="243">
      <c r="F243" s="1" t="inlineStr">
        <is>
          <t>青岛</t>
        </is>
      </c>
      <c r="G243" s="1" t="inlineStr">
        <is>
          <t>IUST</t>
        </is>
      </c>
      <c r="H243" s="114" t="n">
        <v>10.48</v>
      </c>
      <c r="I243" s="1" t="inlineStr">
        <is>
          <t>Q15纽约海卡</t>
        </is>
      </c>
      <c r="J243" s="114" t="n">
        <v>0</v>
      </c>
    </row>
    <row r="244">
      <c r="F244" s="1" t="inlineStr">
        <is>
          <t>青岛</t>
        </is>
      </c>
      <c r="G244" s="1" t="inlineStr">
        <is>
          <t>IUTE</t>
        </is>
      </c>
      <c r="H244" s="114" t="n">
        <v>10.48</v>
      </c>
      <c r="I244" s="1" t="inlineStr">
        <is>
          <t>Q-718专线</t>
        </is>
      </c>
      <c r="J244" s="114" t="n">
        <v>0</v>
      </c>
    </row>
    <row r="245">
      <c r="F245" s="1" t="inlineStr">
        <is>
          <t>青岛</t>
        </is>
      </c>
      <c r="G245" s="1" t="inlineStr">
        <is>
          <t>IUTJ</t>
        </is>
      </c>
      <c r="H245" s="114" t="n">
        <v>9.08</v>
      </c>
      <c r="I245" s="1" t="inlineStr">
        <is>
          <t>Q-718专线</t>
        </is>
      </c>
      <c r="J245" s="114" t="n">
        <v>0</v>
      </c>
    </row>
    <row r="246">
      <c r="F246" s="1" t="inlineStr">
        <is>
          <t>青岛</t>
        </is>
      </c>
      <c r="G246" s="1" t="inlineStr">
        <is>
          <t>IUTL</t>
        </is>
      </c>
      <c r="H246" s="114" t="n">
        <v>9.08</v>
      </c>
      <c r="I246" s="1" t="inlineStr">
        <is>
          <t>Q-718专线</t>
        </is>
      </c>
      <c r="J246" s="114" t="n">
        <v>0</v>
      </c>
    </row>
    <row r="247">
      <c r="F247" s="1" t="inlineStr">
        <is>
          <t>青岛</t>
        </is>
      </c>
      <c r="G247" s="1" t="inlineStr">
        <is>
          <t>LAS1</t>
        </is>
      </c>
      <c r="H247" s="114" t="n">
        <v>9.58</v>
      </c>
      <c r="I247" s="1" t="inlineStr">
        <is>
          <t>Q-718专线</t>
        </is>
      </c>
      <c r="J247" s="114" t="n">
        <v>0</v>
      </c>
    </row>
    <row r="248">
      <c r="F248" s="1" t="inlineStr">
        <is>
          <t>青岛</t>
        </is>
      </c>
      <c r="G248" s="1" t="inlineStr">
        <is>
          <t>LAS6</t>
        </is>
      </c>
      <c r="H248" s="114" t="n">
        <v>9.779999999999999</v>
      </c>
      <c r="I248" s="1" t="inlineStr">
        <is>
          <t>Q-718专线</t>
        </is>
      </c>
      <c r="J248" s="114" t="n">
        <v>0</v>
      </c>
    </row>
    <row r="249">
      <c r="F249" s="1" t="inlineStr">
        <is>
          <t>青岛</t>
        </is>
      </c>
      <c r="G249" s="1" t="inlineStr">
        <is>
          <t>LAX9</t>
        </is>
      </c>
      <c r="H249" s="114" t="n">
        <v>8.68</v>
      </c>
      <c r="I249" s="1" t="inlineStr">
        <is>
          <t>Q-718专线</t>
        </is>
      </c>
      <c r="J249" s="114" t="n">
        <v>0</v>
      </c>
    </row>
    <row r="250">
      <c r="F250" s="1" t="inlineStr">
        <is>
          <t>青岛</t>
        </is>
      </c>
      <c r="G250" s="1" t="inlineStr">
        <is>
          <t>LBE1</t>
        </is>
      </c>
      <c r="H250" s="114" t="n">
        <v>10.18</v>
      </c>
      <c r="I250" s="1" t="inlineStr">
        <is>
          <t>Q15纽约海卡</t>
        </is>
      </c>
      <c r="J250" s="114" t="n">
        <v>0</v>
      </c>
    </row>
    <row r="251">
      <c r="F251" s="1" t="inlineStr">
        <is>
          <t>青岛</t>
        </is>
      </c>
      <c r="G251" s="1" t="inlineStr">
        <is>
          <t>LGB4</t>
        </is>
      </c>
      <c r="H251" s="114" t="n">
        <v>9.18</v>
      </c>
      <c r="I251" s="1" t="inlineStr">
        <is>
          <t>Q-718专线</t>
        </is>
      </c>
      <c r="J251" s="114" t="n">
        <v>0</v>
      </c>
    </row>
    <row r="252">
      <c r="F252" s="1" t="inlineStr">
        <is>
          <t>青岛</t>
        </is>
      </c>
      <c r="G252" s="1" t="inlineStr">
        <is>
          <t>LGB6</t>
        </is>
      </c>
      <c r="H252" s="114" t="n">
        <v>9.18</v>
      </c>
      <c r="I252" s="1" t="inlineStr">
        <is>
          <t>Q-718专线</t>
        </is>
      </c>
      <c r="J252" s="114" t="n">
        <v>0</v>
      </c>
    </row>
    <row r="253">
      <c r="F253" s="1" t="inlineStr">
        <is>
          <t>青岛</t>
        </is>
      </c>
      <c r="G253" s="1" t="inlineStr">
        <is>
          <t>LGB8</t>
        </is>
      </c>
      <c r="H253" s="114" t="n">
        <v>8.68</v>
      </c>
      <c r="I253" s="1" t="inlineStr">
        <is>
          <t>Q-718专线</t>
        </is>
      </c>
      <c r="J253" s="114" t="n">
        <v>0</v>
      </c>
    </row>
    <row r="254">
      <c r="F254" s="1" t="inlineStr">
        <is>
          <t>青岛</t>
        </is>
      </c>
      <c r="G254" s="1" t="inlineStr">
        <is>
          <t>MCC1</t>
        </is>
      </c>
      <c r="H254" s="114" t="n">
        <v>10.08</v>
      </c>
      <c r="I254" s="1" t="inlineStr">
        <is>
          <t>Q-718专线</t>
        </is>
      </c>
      <c r="J254" s="114" t="n">
        <v>0</v>
      </c>
    </row>
    <row r="255">
      <c r="F255" s="1" t="inlineStr">
        <is>
          <t>青岛</t>
        </is>
      </c>
      <c r="G255" s="1" t="inlineStr">
        <is>
          <t>MCE1</t>
        </is>
      </c>
      <c r="H255" s="114" t="n">
        <v>9.880000000000001</v>
      </c>
      <c r="I255" s="1" t="inlineStr">
        <is>
          <t>Q-718专线</t>
        </is>
      </c>
      <c r="J255" s="114" t="n">
        <v>0</v>
      </c>
    </row>
    <row r="256">
      <c r="F256" s="1" t="inlineStr">
        <is>
          <t>青岛</t>
        </is>
      </c>
      <c r="G256" s="1" t="inlineStr">
        <is>
          <t>MCO2</t>
        </is>
      </c>
      <c r="H256" s="114" t="n">
        <v>12.48</v>
      </c>
      <c r="I256" s="1" t="inlineStr">
        <is>
          <t>Q15纽约海卡</t>
        </is>
      </c>
      <c r="J256" s="114" t="n">
        <v>0</v>
      </c>
    </row>
    <row r="257">
      <c r="F257" s="1" t="inlineStr">
        <is>
          <t>青岛</t>
        </is>
      </c>
      <c r="G257" s="1" t="inlineStr">
        <is>
          <t>MDT1</t>
        </is>
      </c>
      <c r="H257" s="114" t="n">
        <v>9.880000000000001</v>
      </c>
      <c r="I257" s="1" t="inlineStr">
        <is>
          <t>Q15纽约海卡</t>
        </is>
      </c>
      <c r="J257" s="114" t="n">
        <v>0</v>
      </c>
    </row>
    <row r="258">
      <c r="F258" s="1" t="inlineStr">
        <is>
          <t>青岛</t>
        </is>
      </c>
      <c r="G258" s="1" t="inlineStr">
        <is>
          <t>MDT4</t>
        </is>
      </c>
      <c r="H258" s="114" t="n">
        <v>9.880000000000001</v>
      </c>
      <c r="I258" s="1" t="inlineStr">
        <is>
          <t>Q15纽约海卡</t>
        </is>
      </c>
      <c r="J258" s="114" t="n">
        <v>0</v>
      </c>
    </row>
    <row r="259">
      <c r="F259" s="1" t="inlineStr">
        <is>
          <t>青岛</t>
        </is>
      </c>
      <c r="G259" s="1" t="inlineStr">
        <is>
          <t>MDW2</t>
        </is>
      </c>
      <c r="H259" s="114" t="n">
        <v>13.08</v>
      </c>
      <c r="I259" s="1" t="inlineStr">
        <is>
          <t>Q-718专线</t>
        </is>
      </c>
      <c r="J259" s="114" t="n">
        <v>0</v>
      </c>
    </row>
    <row r="260">
      <c r="F260" s="1" t="inlineStr">
        <is>
          <t>青岛</t>
        </is>
      </c>
      <c r="G260" s="1" t="inlineStr">
        <is>
          <t>MEM1</t>
        </is>
      </c>
      <c r="H260" s="114" t="n">
        <v>12.58</v>
      </c>
      <c r="I260" s="1" t="inlineStr">
        <is>
          <t>Q-718专线</t>
        </is>
      </c>
      <c r="J260" s="114" t="n">
        <v>0</v>
      </c>
    </row>
    <row r="261">
      <c r="F261" s="1" t="inlineStr">
        <is>
          <t>青岛</t>
        </is>
      </c>
      <c r="G261" s="1" t="inlineStr">
        <is>
          <t>MGE1</t>
        </is>
      </c>
      <c r="H261" s="114" t="n">
        <v>11.08</v>
      </c>
      <c r="I261" s="1" t="inlineStr">
        <is>
          <t>Q15纽约海卡</t>
        </is>
      </c>
      <c r="J261" s="114" t="n">
        <v>0</v>
      </c>
    </row>
    <row r="262">
      <c r="F262" s="1" t="inlineStr">
        <is>
          <t>青岛</t>
        </is>
      </c>
      <c r="G262" s="1" t="inlineStr">
        <is>
          <t>MGE3</t>
        </is>
      </c>
      <c r="H262" s="114" t="n">
        <v>11.48</v>
      </c>
      <c r="I262" s="1" t="inlineStr">
        <is>
          <t>Q15纽约海卡</t>
        </is>
      </c>
      <c r="J262" s="114" t="n">
        <v>0</v>
      </c>
    </row>
    <row r="263">
      <c r="F263" s="1" t="inlineStr">
        <is>
          <t>青岛</t>
        </is>
      </c>
      <c r="G263" s="1" t="inlineStr">
        <is>
          <t>MIT2</t>
        </is>
      </c>
      <c r="H263" s="114" t="n">
        <v>9.58</v>
      </c>
      <c r="I263" s="1" t="inlineStr">
        <is>
          <t>Q-718专线</t>
        </is>
      </c>
      <c r="J263" s="114" t="n">
        <v>0</v>
      </c>
    </row>
    <row r="264">
      <c r="F264" s="1" t="inlineStr">
        <is>
          <t>青岛</t>
        </is>
      </c>
      <c r="G264" s="1" t="inlineStr">
        <is>
          <t>MQJ1</t>
        </is>
      </c>
      <c r="H264" s="114" t="n">
        <v>13.18</v>
      </c>
      <c r="I264" s="1" t="inlineStr">
        <is>
          <t>Q-718专线</t>
        </is>
      </c>
      <c r="J264" s="114" t="n">
        <v>0</v>
      </c>
    </row>
    <row r="265">
      <c r="F265" s="1" t="inlineStr">
        <is>
          <t>青岛</t>
        </is>
      </c>
      <c r="G265" s="1" t="inlineStr">
        <is>
          <t>OAK3</t>
        </is>
      </c>
      <c r="H265" s="114" t="n">
        <v>9.880000000000001</v>
      </c>
      <c r="I265" s="1" t="inlineStr">
        <is>
          <t>Q-718专线</t>
        </is>
      </c>
      <c r="J265" s="114" t="n">
        <v>0</v>
      </c>
    </row>
    <row r="266">
      <c r="F266" s="1" t="inlineStr">
        <is>
          <t>青岛</t>
        </is>
      </c>
      <c r="G266" s="1" t="inlineStr">
        <is>
          <t>ONT8</t>
        </is>
      </c>
      <c r="H266" s="114" t="n">
        <v>8.68</v>
      </c>
      <c r="I266" s="1" t="inlineStr">
        <is>
          <t>Q-718专线</t>
        </is>
      </c>
      <c r="J266" s="114" t="n">
        <v>0</v>
      </c>
    </row>
    <row r="267">
      <c r="F267" s="1" t="inlineStr">
        <is>
          <t>青岛</t>
        </is>
      </c>
      <c r="G267" s="1" t="inlineStr">
        <is>
          <t>ORF2</t>
        </is>
      </c>
      <c r="H267" s="114" t="n">
        <v>10.38</v>
      </c>
      <c r="I267" s="1" t="inlineStr">
        <is>
          <t>Q15纽约海卡</t>
        </is>
      </c>
      <c r="J267" s="114" t="n">
        <v>0</v>
      </c>
    </row>
    <row r="268">
      <c r="F268" s="1" t="inlineStr">
        <is>
          <t>青岛</t>
        </is>
      </c>
      <c r="G268" s="1" t="inlineStr">
        <is>
          <t>PDX7</t>
        </is>
      </c>
      <c r="H268" s="114" t="n">
        <v>12.28</v>
      </c>
      <c r="I268" s="1" t="inlineStr">
        <is>
          <t>Q-718专线</t>
        </is>
      </c>
      <c r="J268" s="114" t="n">
        <v>0</v>
      </c>
    </row>
    <row r="269">
      <c r="F269" s="1" t="inlineStr">
        <is>
          <t>青岛</t>
        </is>
      </c>
      <c r="G269" s="1" t="inlineStr">
        <is>
          <t>PHX5</t>
        </is>
      </c>
      <c r="H269" s="114" t="n">
        <v>9.880000000000001</v>
      </c>
      <c r="I269" s="1" t="inlineStr">
        <is>
          <t>Q-718专线</t>
        </is>
      </c>
      <c r="J269" s="114" t="n">
        <v>0</v>
      </c>
    </row>
    <row r="270">
      <c r="F270" s="1" t="inlineStr">
        <is>
          <t>青岛</t>
        </is>
      </c>
      <c r="G270" s="1" t="inlineStr">
        <is>
          <t>PHX7</t>
        </is>
      </c>
      <c r="H270" s="114" t="n">
        <v>9.880000000000001</v>
      </c>
      <c r="I270" s="1" t="inlineStr">
        <is>
          <t>Q-718专线</t>
        </is>
      </c>
      <c r="J270" s="114" t="n">
        <v>0</v>
      </c>
    </row>
    <row r="271">
      <c r="F271" s="1" t="inlineStr">
        <is>
          <t>青岛</t>
        </is>
      </c>
      <c r="G271" s="1" t="inlineStr">
        <is>
          <t>PIT2</t>
        </is>
      </c>
      <c r="H271" s="114" t="n">
        <v>10.18</v>
      </c>
      <c r="I271" s="1" t="inlineStr">
        <is>
          <t>Q15纽约海卡</t>
        </is>
      </c>
      <c r="J271" s="114" t="n">
        <v>0</v>
      </c>
    </row>
    <row r="272">
      <c r="F272" s="1" t="inlineStr">
        <is>
          <t>青岛</t>
        </is>
      </c>
      <c r="G272" s="1" t="inlineStr">
        <is>
          <t>POC1</t>
        </is>
      </c>
      <c r="H272" s="114" t="n">
        <v>8.98</v>
      </c>
      <c r="I272" s="1" t="inlineStr">
        <is>
          <t>Q-718专线</t>
        </is>
      </c>
      <c r="J272" s="114" t="n">
        <v>0</v>
      </c>
    </row>
    <row r="273">
      <c r="F273" s="1" t="inlineStr">
        <is>
          <t>青岛</t>
        </is>
      </c>
      <c r="G273" s="1" t="inlineStr">
        <is>
          <t>POC2</t>
        </is>
      </c>
      <c r="H273" s="114" t="n">
        <v>8.779999999999999</v>
      </c>
      <c r="I273" s="1" t="inlineStr">
        <is>
          <t>Q-718专线</t>
        </is>
      </c>
      <c r="J273" s="114" t="n">
        <v>0</v>
      </c>
    </row>
    <row r="274">
      <c r="F274" s="1" t="inlineStr">
        <is>
          <t>青岛</t>
        </is>
      </c>
      <c r="G274" s="1" t="inlineStr">
        <is>
          <t>POC3</t>
        </is>
      </c>
      <c r="H274" s="114" t="n">
        <v>8.779999999999999</v>
      </c>
      <c r="I274" s="1" t="inlineStr">
        <is>
          <t>Q-718专线</t>
        </is>
      </c>
      <c r="J274" s="114" t="n">
        <v>0</v>
      </c>
    </row>
    <row r="275">
      <c r="F275" s="1" t="inlineStr">
        <is>
          <t>青岛</t>
        </is>
      </c>
      <c r="G275" s="1" t="inlineStr">
        <is>
          <t>PSP3</t>
        </is>
      </c>
      <c r="H275" s="114" t="n">
        <v>9.08</v>
      </c>
      <c r="I275" s="1" t="inlineStr">
        <is>
          <t>Q-718专线</t>
        </is>
      </c>
      <c r="J275" s="114" t="n">
        <v>0</v>
      </c>
    </row>
    <row r="276">
      <c r="F276" s="1" t="inlineStr">
        <is>
          <t>青岛</t>
        </is>
      </c>
      <c r="G276" s="1" t="inlineStr">
        <is>
          <t>QXY8</t>
        </is>
      </c>
      <c r="H276" s="114" t="n">
        <v>9.880000000000001</v>
      </c>
      <c r="I276" s="1" t="inlineStr">
        <is>
          <t>Q-718专线</t>
        </is>
      </c>
      <c r="J276" s="114" t="n">
        <v>0</v>
      </c>
    </row>
    <row r="277">
      <c r="F277" s="1" t="inlineStr">
        <is>
          <t>青岛</t>
        </is>
      </c>
      <c r="G277" s="1" t="inlineStr">
        <is>
          <t>RDU2</t>
        </is>
      </c>
      <c r="H277" s="114" t="n">
        <v>10.58</v>
      </c>
      <c r="I277" s="1" t="inlineStr">
        <is>
          <t>Q15纽约海卡</t>
        </is>
      </c>
      <c r="J277" s="114" t="n">
        <v>0</v>
      </c>
    </row>
    <row r="278">
      <c r="F278" s="1" t="inlineStr">
        <is>
          <t>青岛</t>
        </is>
      </c>
      <c r="G278" s="1" t="inlineStr">
        <is>
          <t>RFD2</t>
        </is>
      </c>
      <c r="H278" s="114" t="n">
        <v>13.08</v>
      </c>
      <c r="I278" s="1" t="inlineStr">
        <is>
          <t>Q-718专线</t>
        </is>
      </c>
      <c r="J278" s="114" t="n">
        <v>0</v>
      </c>
    </row>
    <row r="279">
      <c r="F279" s="1" t="inlineStr">
        <is>
          <t>青岛</t>
        </is>
      </c>
      <c r="G279" s="1" t="inlineStr">
        <is>
          <t>RMN3</t>
        </is>
      </c>
      <c r="H279" s="114" t="n">
        <v>10.38</v>
      </c>
      <c r="I279" s="1" t="inlineStr">
        <is>
          <t>Q15纽约海卡</t>
        </is>
      </c>
      <c r="J279" s="114" t="n">
        <v>0</v>
      </c>
    </row>
    <row r="280">
      <c r="F280" s="1" t="inlineStr">
        <is>
          <t>青岛</t>
        </is>
      </c>
      <c r="G280" s="1" t="inlineStr">
        <is>
          <t>RYY2</t>
        </is>
      </c>
      <c r="H280" s="114" t="n">
        <v>11.48</v>
      </c>
      <c r="I280" s="1" t="inlineStr">
        <is>
          <t>Q15纽约海卡</t>
        </is>
      </c>
      <c r="J280" s="114" t="n">
        <v>0</v>
      </c>
    </row>
    <row r="281">
      <c r="F281" s="1" t="inlineStr">
        <is>
          <t>青岛</t>
        </is>
      </c>
      <c r="G281" s="1" t="inlineStr">
        <is>
          <t>SBD1</t>
        </is>
      </c>
      <c r="H281" s="114" t="n">
        <v>8.68</v>
      </c>
      <c r="I281" s="1" t="inlineStr">
        <is>
          <t>Q-718专线</t>
        </is>
      </c>
      <c r="J281" s="114" t="n">
        <v>0</v>
      </c>
    </row>
    <row r="282">
      <c r="F282" s="1" t="inlineStr">
        <is>
          <t>青岛</t>
        </is>
      </c>
      <c r="G282" s="1" t="inlineStr">
        <is>
          <t>SBD2</t>
        </is>
      </c>
      <c r="H282" s="114" t="n">
        <v>9.18</v>
      </c>
      <c r="I282" s="1" t="inlineStr">
        <is>
          <t>Q-718专线</t>
        </is>
      </c>
      <c r="J282" s="114" t="n">
        <v>0</v>
      </c>
    </row>
    <row r="283">
      <c r="F283" s="1" t="inlineStr">
        <is>
          <t>青岛</t>
        </is>
      </c>
      <c r="G283" s="1" t="inlineStr">
        <is>
          <t>SCK1</t>
        </is>
      </c>
      <c r="H283" s="114" t="n">
        <v>9.98</v>
      </c>
      <c r="I283" s="1" t="inlineStr">
        <is>
          <t>Q-718专线</t>
        </is>
      </c>
      <c r="J283" s="114" t="n">
        <v>0</v>
      </c>
    </row>
    <row r="284">
      <c r="F284" s="1" t="inlineStr">
        <is>
          <t>青岛</t>
        </is>
      </c>
      <c r="G284" s="1" t="inlineStr">
        <is>
          <t>SCK4</t>
        </is>
      </c>
      <c r="H284" s="114" t="n">
        <v>9.779999999999999</v>
      </c>
      <c r="I284" s="1" t="inlineStr">
        <is>
          <t>Q-718专线</t>
        </is>
      </c>
      <c r="J284" s="114" t="n">
        <v>0</v>
      </c>
    </row>
    <row r="285">
      <c r="F285" s="1" t="inlineStr">
        <is>
          <t>青岛</t>
        </is>
      </c>
      <c r="G285" s="1" t="inlineStr">
        <is>
          <t>SCK8</t>
        </is>
      </c>
      <c r="H285" s="114" t="n">
        <v>9.880000000000001</v>
      </c>
      <c r="I285" s="1" t="inlineStr">
        <is>
          <t>Q-718专线</t>
        </is>
      </c>
      <c r="J285" s="114" t="n">
        <v>0</v>
      </c>
    </row>
    <row r="286">
      <c r="F286" s="1" t="inlineStr">
        <is>
          <t>青岛</t>
        </is>
      </c>
      <c r="G286" s="1" t="inlineStr">
        <is>
          <t>SLC2</t>
        </is>
      </c>
      <c r="H286" s="114" t="n">
        <v>11.08</v>
      </c>
      <c r="I286" s="1" t="inlineStr">
        <is>
          <t>Q-718专线</t>
        </is>
      </c>
      <c r="J286" s="114" t="n">
        <v>0</v>
      </c>
    </row>
    <row r="287">
      <c r="F287" s="1" t="inlineStr">
        <is>
          <t>青岛</t>
        </is>
      </c>
      <c r="G287" s="1" t="inlineStr">
        <is>
          <t>SMF3</t>
        </is>
      </c>
      <c r="H287" s="114" t="n">
        <v>9.779999999999999</v>
      </c>
      <c r="I287" s="1" t="inlineStr">
        <is>
          <t>Q-718专线</t>
        </is>
      </c>
      <c r="J287" s="114" t="n">
        <v>0</v>
      </c>
    </row>
    <row r="288">
      <c r="F288" s="1" t="inlineStr">
        <is>
          <t>青岛</t>
        </is>
      </c>
      <c r="G288" s="1" t="inlineStr">
        <is>
          <t>SMF6</t>
        </is>
      </c>
      <c r="H288" s="114" t="n">
        <v>10.58</v>
      </c>
      <c r="I288" s="1" t="inlineStr">
        <is>
          <t>Q-718专线</t>
        </is>
      </c>
      <c r="J288" s="114" t="n">
        <v>0</v>
      </c>
    </row>
    <row r="289">
      <c r="F289" s="1" t="inlineStr">
        <is>
          <t>青岛</t>
        </is>
      </c>
      <c r="G289" s="1" t="inlineStr">
        <is>
          <t>SNA4</t>
        </is>
      </c>
      <c r="H289" s="114" t="n">
        <v>9.18</v>
      </c>
      <c r="I289" s="1" t="inlineStr">
        <is>
          <t>Q-718专线</t>
        </is>
      </c>
      <c r="J289" s="114" t="n">
        <v>0</v>
      </c>
    </row>
    <row r="290">
      <c r="F290" s="1" t="inlineStr">
        <is>
          <t>青岛</t>
        </is>
      </c>
      <c r="G290" s="1" t="inlineStr">
        <is>
          <t>SWF1</t>
        </is>
      </c>
      <c r="H290" s="114" t="n">
        <v>9.880000000000001</v>
      </c>
      <c r="I290" s="1" t="inlineStr">
        <is>
          <t>Q15纽约海卡</t>
        </is>
      </c>
      <c r="J290" s="114" t="n">
        <v>0</v>
      </c>
    </row>
    <row r="291">
      <c r="F291" s="1" t="inlineStr">
        <is>
          <t>青岛</t>
        </is>
      </c>
      <c r="G291" s="1" t="inlineStr">
        <is>
          <t>SWF2</t>
        </is>
      </c>
      <c r="H291" s="114" t="n">
        <v>9.880000000000001</v>
      </c>
      <c r="I291" s="1" t="inlineStr">
        <is>
          <t>Q15纽约海卡</t>
        </is>
      </c>
      <c r="J291" s="114" t="n">
        <v>0</v>
      </c>
    </row>
    <row r="292">
      <c r="F292" s="1" t="inlineStr">
        <is>
          <t>青岛</t>
        </is>
      </c>
      <c r="G292" s="1" t="inlineStr">
        <is>
          <t>TCY1</t>
        </is>
      </c>
      <c r="H292" s="114" t="n">
        <v>9.779999999999999</v>
      </c>
      <c r="I292" s="1" t="inlineStr">
        <is>
          <t>Q-718专线</t>
        </is>
      </c>
      <c r="J292" s="114" t="n">
        <v>0</v>
      </c>
    </row>
    <row r="293">
      <c r="F293" s="1" t="inlineStr">
        <is>
          <t>青岛</t>
        </is>
      </c>
      <c r="G293" s="1" t="inlineStr">
        <is>
          <t>TCY2</t>
        </is>
      </c>
      <c r="H293" s="114" t="n">
        <v>9.779999999999999</v>
      </c>
      <c r="I293" s="1" t="inlineStr">
        <is>
          <t>Q-718专线</t>
        </is>
      </c>
      <c r="J293" s="114" t="n">
        <v>0</v>
      </c>
    </row>
    <row r="294">
      <c r="F294" s="1" t="inlineStr">
        <is>
          <t>青岛</t>
        </is>
      </c>
      <c r="G294" s="1" t="inlineStr">
        <is>
          <t>TEB3</t>
        </is>
      </c>
      <c r="H294" s="114" t="n">
        <v>9.58</v>
      </c>
      <c r="I294" s="1" t="inlineStr">
        <is>
          <t>Q15纽约海卡</t>
        </is>
      </c>
      <c r="J294" s="114" t="n">
        <v>0</v>
      </c>
    </row>
    <row r="295">
      <c r="F295" s="1" t="inlineStr">
        <is>
          <t>青岛</t>
        </is>
      </c>
      <c r="G295" s="1" t="inlineStr">
        <is>
          <t>TEB4</t>
        </is>
      </c>
      <c r="H295" s="114" t="n">
        <v>9.58</v>
      </c>
      <c r="I295" s="1" t="inlineStr">
        <is>
          <t>Q15纽约海卡</t>
        </is>
      </c>
      <c r="J295" s="114" t="n">
        <v>0</v>
      </c>
    </row>
    <row r="296">
      <c r="F296" s="1" t="inlineStr">
        <is>
          <t>青岛</t>
        </is>
      </c>
      <c r="G296" s="1" t="inlineStr">
        <is>
          <t>TEB6</t>
        </is>
      </c>
      <c r="H296" s="114" t="n">
        <v>9.58</v>
      </c>
      <c r="I296" s="1" t="inlineStr">
        <is>
          <t>Q15纽约海卡</t>
        </is>
      </c>
      <c r="J296" s="114" t="n">
        <v>0</v>
      </c>
    </row>
    <row r="297">
      <c r="F297" s="1" t="inlineStr">
        <is>
          <t>青岛</t>
        </is>
      </c>
      <c r="G297" s="1" t="inlineStr">
        <is>
          <t>TEB9</t>
        </is>
      </c>
      <c r="H297" s="114" t="n">
        <v>9.58</v>
      </c>
      <c r="I297" s="1" t="inlineStr">
        <is>
          <t>Q15纽约海卡</t>
        </is>
      </c>
      <c r="J297" s="114" t="n">
        <v>0</v>
      </c>
    </row>
    <row r="298">
      <c r="F298" s="1" t="inlineStr">
        <is>
          <t>青岛</t>
        </is>
      </c>
      <c r="G298" s="1" t="inlineStr">
        <is>
          <t>TPA2</t>
        </is>
      </c>
      <c r="H298" s="114" t="n">
        <v>12.48</v>
      </c>
      <c r="I298" s="1" t="inlineStr">
        <is>
          <t>Q15纽约海卡</t>
        </is>
      </c>
      <c r="J298" s="114" t="n">
        <v>0</v>
      </c>
    </row>
    <row r="299">
      <c r="F299" s="1" t="inlineStr">
        <is>
          <t>青岛</t>
        </is>
      </c>
      <c r="G299" s="1" t="inlineStr">
        <is>
          <t>TPA3</t>
        </is>
      </c>
      <c r="H299" s="114" t="n">
        <v>12.48</v>
      </c>
      <c r="I299" s="1" t="inlineStr">
        <is>
          <t>Q15纽约海卡</t>
        </is>
      </c>
      <c r="J299" s="114" t="n">
        <v>0</v>
      </c>
    </row>
    <row r="300">
      <c r="F300" s="1" t="inlineStr">
        <is>
          <t>青岛</t>
        </is>
      </c>
      <c r="G300" s="1" t="inlineStr">
        <is>
          <t>TTN2</t>
        </is>
      </c>
      <c r="H300" s="114" t="n">
        <v>9.779999999999999</v>
      </c>
      <c r="I300" s="1" t="inlineStr">
        <is>
          <t>Q15纽约海卡</t>
        </is>
      </c>
      <c r="J300" s="114" t="n">
        <v>0</v>
      </c>
    </row>
    <row r="301">
      <c r="F301" s="1" t="inlineStr">
        <is>
          <t>青岛</t>
        </is>
      </c>
      <c r="G301" s="1" t="inlineStr">
        <is>
          <t>VGT2</t>
        </is>
      </c>
      <c r="H301" s="114" t="n">
        <v>9.58</v>
      </c>
      <c r="I301" s="1" t="inlineStr">
        <is>
          <t>Q-718专线</t>
        </is>
      </c>
      <c r="J301" s="114" t="n">
        <v>0</v>
      </c>
    </row>
    <row r="302">
      <c r="F302" s="1" t="inlineStr">
        <is>
          <t>青岛</t>
        </is>
      </c>
      <c r="G302" s="1" t="inlineStr">
        <is>
          <t>XEW5</t>
        </is>
      </c>
      <c r="H302" s="114" t="n">
        <v>9.880000000000001</v>
      </c>
      <c r="I302" s="1" t="inlineStr">
        <is>
          <t>Q15纽约海卡</t>
        </is>
      </c>
      <c r="J302" s="114" t="n">
        <v>0</v>
      </c>
    </row>
    <row r="303">
      <c r="F303" s="1" t="inlineStr">
        <is>
          <t>青岛</t>
        </is>
      </c>
      <c r="G303" s="1" t="inlineStr">
        <is>
          <t>XLX1</t>
        </is>
      </c>
      <c r="H303" s="114" t="n">
        <v>10.28</v>
      </c>
      <c r="I303" s="1" t="inlineStr">
        <is>
          <t>Q15纽约海卡</t>
        </is>
      </c>
      <c r="J303" s="114" t="n">
        <v>0</v>
      </c>
    </row>
    <row r="304">
      <c r="F304" s="1" t="inlineStr">
        <is>
          <t>青岛</t>
        </is>
      </c>
      <c r="G304" s="1" t="inlineStr">
        <is>
          <t>XLX6</t>
        </is>
      </c>
      <c r="H304" s="114" t="n">
        <v>10.58</v>
      </c>
      <c r="I304" s="1" t="inlineStr">
        <is>
          <t>Q15纽约海卡</t>
        </is>
      </c>
      <c r="J304" s="114" t="n">
        <v>0</v>
      </c>
    </row>
    <row r="305">
      <c r="F305" s="1" t="inlineStr">
        <is>
          <t>青岛</t>
        </is>
      </c>
      <c r="G305" s="1" t="inlineStr">
        <is>
          <t>XLX7</t>
        </is>
      </c>
      <c r="H305" s="114" t="n">
        <v>9.18</v>
      </c>
      <c r="I305" s="1" t="inlineStr">
        <is>
          <t>Q-718专线</t>
        </is>
      </c>
      <c r="J305" s="114" t="n">
        <v>0</v>
      </c>
    </row>
    <row r="306">
      <c r="F306" s="1" t="inlineStr">
        <is>
          <t>青岛</t>
        </is>
      </c>
      <c r="G306" s="1" t="inlineStr">
        <is>
          <t>XPH1</t>
        </is>
      </c>
      <c r="H306" s="114" t="n">
        <v>10.88</v>
      </c>
      <c r="I306" s="1" t="inlineStr">
        <is>
          <t>Q15纽约海卡</t>
        </is>
      </c>
      <c r="J306" s="114" t="n">
        <v>0</v>
      </c>
    </row>
    <row r="307">
      <c r="F307" s="1" t="inlineStr">
        <is>
          <t>青岛</t>
        </is>
      </c>
      <c r="G307" s="1" t="inlineStr">
        <is>
          <t>XRI3</t>
        </is>
      </c>
      <c r="H307" s="114" t="n">
        <v>10.38</v>
      </c>
      <c r="I307" s="1" t="inlineStr">
        <is>
          <t>Q15纽约海卡</t>
        </is>
      </c>
      <c r="J307" s="114" t="n">
        <v>0</v>
      </c>
    </row>
    <row r="308">
      <c r="F308" s="1" t="inlineStr">
        <is>
          <t>青岛</t>
        </is>
      </c>
      <c r="G308" s="1" t="inlineStr">
        <is>
          <t>凯琦美西仓</t>
        </is>
      </c>
      <c r="H308" s="114" t="n">
        <v>8.48</v>
      </c>
      <c r="I308" s="1" t="inlineStr">
        <is>
          <t>Q-718专线</t>
        </is>
      </c>
      <c r="J308" s="114" t="n">
        <v>0</v>
      </c>
    </row>
    <row r="309">
      <c r="F309" s="1" t="inlineStr">
        <is>
          <t>青岛</t>
        </is>
      </c>
      <c r="G309" s="1" t="inlineStr">
        <is>
          <t>美国东岸(邮编0.1.2.3.4开头)</t>
        </is>
      </c>
      <c r="H309" s="114" t="n">
        <v>16.18</v>
      </c>
      <c r="I309" s="1" t="inlineStr">
        <is>
          <t>718海派</t>
        </is>
      </c>
      <c r="J309" s="114" t="n">
        <v>0</v>
      </c>
    </row>
    <row r="310">
      <c r="F310" s="1" t="inlineStr">
        <is>
          <t>青岛</t>
        </is>
      </c>
      <c r="G310" s="1" t="inlineStr">
        <is>
          <t>美国中部(邮编5.6.7开头)</t>
        </is>
      </c>
      <c r="H310" s="114" t="n">
        <v>14.68</v>
      </c>
      <c r="I310" s="1" t="inlineStr">
        <is>
          <t>718海派</t>
        </is>
      </c>
      <c r="J310" s="114" t="n">
        <v>0</v>
      </c>
    </row>
    <row r="311">
      <c r="F311" s="1" t="inlineStr">
        <is>
          <t>青岛</t>
        </is>
      </c>
      <c r="G311" s="1" t="inlineStr">
        <is>
          <t>美国西岸北（邮编97.98.99开头）</t>
        </is>
      </c>
      <c r="H311" s="114" t="n">
        <v>13.18</v>
      </c>
      <c r="I311" s="1" t="inlineStr">
        <is>
          <t>718海派</t>
        </is>
      </c>
      <c r="J311" s="1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cols>
    <col width="14" customWidth="1" style="67" min="1" max="1"/>
    <col width="12" customWidth="1" style="67" min="2" max="2"/>
    <col width="12" customWidth="1" style="67" min="3" max="3"/>
    <col width="12" customWidth="1" style="67" min="4" max="4"/>
    <col width="12" customWidth="1" style="67" min="5" max="5"/>
    <col width="12" customWidth="1" style="67" min="6" max="6"/>
    <col width="12" customWidth="1" style="67" min="7" max="7"/>
    <col width="12" customWidth="1" style="67" min="8" max="8"/>
    <col width="12" customWidth="1" style="67" min="9" max="9"/>
    <col width="12" customWidth="1" style="67" min="10" max="10"/>
    <col width="12" customWidth="1" style="67" min="11" max="11"/>
    <col width="12" customWidth="1" style="67" min="12" max="12"/>
    <col width="12" customWidth="1" style="67" min="13" max="13"/>
    <col width="12" customWidth="1" style="67" min="14" max="14"/>
    <col width="12" customWidth="1" style="67" min="15" max="15"/>
    <col width="12" customWidth="1" style="67" min="16" max="16"/>
    <col width="12" customWidth="1" style="67" min="17" max="17"/>
    <col width="12" customWidth="1" style="67" min="18" max="18"/>
    <col width="12" customWidth="1" style="67" min="19" max="19"/>
  </cols>
  <sheetData>
    <row r="1" ht="32" customHeight="1" s="67">
      <c r="A1" s="95" t="inlineStr">
        <is>
          <t>产品尺寸（英寸）</t>
        </is>
      </c>
      <c r="B1" s="95" t="inlineStr">
        <is>
          <t>长(CM)</t>
        </is>
      </c>
      <c r="C1" s="95" t="inlineStr">
        <is>
          <t>宽(CM)</t>
        </is>
      </c>
      <c r="D1" s="95" t="inlineStr">
        <is>
          <t>产品面积</t>
        </is>
      </c>
      <c r="E1" s="95" t="inlineStr">
        <is>
          <t>单件长(CM)</t>
        </is>
      </c>
      <c r="F1" s="95" t="inlineStr">
        <is>
          <t>单件宽(CM)</t>
        </is>
      </c>
      <c r="G1" s="95" t="inlineStr">
        <is>
          <t>单件高(CM)</t>
        </is>
      </c>
      <c r="H1" s="95" t="inlineStr">
        <is>
          <t>单件体积</t>
        </is>
      </c>
      <c r="I1" s="95" t="inlineStr">
        <is>
          <t>装箱数（件）</t>
        </is>
      </c>
      <c r="J1" s="95" t="inlineStr">
        <is>
          <t>外箱长(CM)</t>
        </is>
      </c>
      <c r="K1" s="95" t="inlineStr">
        <is>
          <t>外箱宽(CM)</t>
        </is>
      </c>
      <c r="L1" s="95" t="inlineStr">
        <is>
          <t>外箱高(CM)</t>
        </is>
      </c>
      <c r="M1" s="95" t="inlineStr">
        <is>
          <t>一箱体积</t>
        </is>
      </c>
      <c r="N1" s="95" t="inlineStr">
        <is>
          <t>单件产品净重（KG）</t>
        </is>
      </c>
      <c r="O1" s="95" t="inlineStr">
        <is>
          <t>总产品净重（KG）</t>
        </is>
      </c>
      <c r="P1" s="95" t="inlineStr">
        <is>
          <t>外箱重（KG）</t>
        </is>
      </c>
      <c r="Q1" s="95" t="inlineStr">
        <is>
          <t>一箱净重（KG）</t>
        </is>
      </c>
      <c r="R1" s="95" t="inlineStr">
        <is>
          <t>一箱毛重（KG）</t>
        </is>
      </c>
      <c r="S1" s="95" t="inlineStr">
        <is>
          <t>备注</t>
        </is>
      </c>
      <c r="U1" s="97" t="inlineStr">
        <is>
          <t>说明：完整箱规数据。采购成本对比表的「尺寸」下拉与自动填充引用本表。</t>
        </is>
      </c>
    </row>
    <row r="2">
      <c r="A2" s="1" t="inlineStr">
        <is>
          <t>2'3'</t>
        </is>
      </c>
      <c r="B2" s="143" t="n">
        <v>61</v>
      </c>
      <c r="C2" s="143" t="n">
        <v>91</v>
      </c>
      <c r="D2" s="134" t="n">
        <v>0.5600000000000001</v>
      </c>
      <c r="E2" s="143" t="n">
        <v>23</v>
      </c>
      <c r="F2" s="143" t="n">
        <v>22</v>
      </c>
      <c r="G2" s="143" t="n">
        <v>5</v>
      </c>
      <c r="H2" s="146" t="n">
        <v>0.0025</v>
      </c>
      <c r="I2" s="120" t="n">
        <v>16</v>
      </c>
      <c r="J2" s="143" t="n">
        <v>48</v>
      </c>
      <c r="K2" s="143" t="n">
        <v>48</v>
      </c>
      <c r="L2" s="143" t="n">
        <v>29</v>
      </c>
      <c r="M2" s="147" t="n">
        <v>0.067</v>
      </c>
      <c r="N2" s="134" t="n">
        <v>0.64</v>
      </c>
      <c r="O2" s="134" t="n">
        <v>10.24</v>
      </c>
      <c r="P2" s="134" t="n">
        <v>1.2</v>
      </c>
      <c r="Q2" s="134" t="n">
        <v>10.24</v>
      </c>
      <c r="R2" s="134" t="n">
        <v>11.44</v>
      </c>
    </row>
    <row r="3">
      <c r="A3" s="1" t="inlineStr">
        <is>
          <t>2'5'</t>
        </is>
      </c>
      <c r="B3" s="143" t="n">
        <v>61</v>
      </c>
      <c r="C3" s="143" t="n">
        <v>152</v>
      </c>
      <c r="D3" s="134" t="n">
        <v>0.93</v>
      </c>
      <c r="E3" s="143" t="n">
        <v>26</v>
      </c>
      <c r="F3" s="143" t="n">
        <v>22</v>
      </c>
      <c r="G3" s="143" t="n">
        <v>10</v>
      </c>
      <c r="H3" s="146" t="n">
        <v>0.0057</v>
      </c>
      <c r="I3" s="120" t="n">
        <v>16</v>
      </c>
      <c r="J3" s="143" t="n">
        <v>48</v>
      </c>
      <c r="K3" s="143" t="n">
        <v>44</v>
      </c>
      <c r="L3" s="143" t="n">
        <v>48</v>
      </c>
      <c r="M3" s="147" t="n">
        <v>0.101</v>
      </c>
      <c r="N3" s="134" t="n">
        <v>1.28</v>
      </c>
      <c r="O3" s="134" t="n">
        <v>20.48</v>
      </c>
      <c r="P3" s="134" t="n">
        <v>1.2</v>
      </c>
      <c r="Q3" s="134" t="n">
        <v>20.48</v>
      </c>
      <c r="R3" s="134" t="n">
        <v>21.68</v>
      </c>
      <c r="S3" s="1" t="inlineStr">
        <is>
          <t>新</t>
        </is>
      </c>
    </row>
    <row r="4">
      <c r="A4" s="1" t="inlineStr">
        <is>
          <t>2'6'</t>
        </is>
      </c>
      <c r="B4" s="143" t="n">
        <v>61</v>
      </c>
      <c r="C4" s="143" t="n">
        <v>183</v>
      </c>
      <c r="D4" s="134" t="n">
        <v>1.12</v>
      </c>
      <c r="E4" s="143" t="n">
        <v>24</v>
      </c>
      <c r="F4" s="143" t="n">
        <v>23</v>
      </c>
      <c r="G4" s="143" t="n">
        <v>14</v>
      </c>
      <c r="H4" s="146" t="n">
        <v>0.0077</v>
      </c>
      <c r="I4" s="120" t="n">
        <v>14</v>
      </c>
      <c r="J4" s="143" t="n">
        <v>48</v>
      </c>
      <c r="K4" s="143" t="n">
        <v>44</v>
      </c>
      <c r="L4" s="143" t="n">
        <v>48</v>
      </c>
      <c r="M4" s="147" t="n">
        <v>0.101</v>
      </c>
      <c r="N4" s="134" t="n">
        <v>1.28</v>
      </c>
      <c r="O4" s="134" t="n">
        <v>17.92</v>
      </c>
      <c r="P4" s="134" t="n">
        <v>1.2</v>
      </c>
      <c r="Q4" s="134" t="n">
        <v>17.92</v>
      </c>
      <c r="R4" s="134" t="n">
        <v>19.12</v>
      </c>
    </row>
    <row r="5">
      <c r="A5" s="1" t="inlineStr">
        <is>
          <t>2'8'</t>
        </is>
      </c>
      <c r="B5" s="143" t="n">
        <v>61</v>
      </c>
      <c r="C5" s="143" t="n">
        <v>244</v>
      </c>
      <c r="D5" s="134" t="n">
        <v>1.49</v>
      </c>
      <c r="E5" s="143" t="n">
        <v>26</v>
      </c>
      <c r="F5" s="143" t="n">
        <v>25</v>
      </c>
      <c r="G5" s="143" t="n">
        <v>14</v>
      </c>
      <c r="H5" s="146" t="n">
        <v>0.0091</v>
      </c>
      <c r="I5" s="120" t="n">
        <v>10</v>
      </c>
      <c r="J5" s="143" t="n">
        <v>48</v>
      </c>
      <c r="K5" s="143" t="n">
        <v>44</v>
      </c>
      <c r="L5" s="143" t="n">
        <v>48</v>
      </c>
      <c r="M5" s="147" t="n">
        <v>0.101</v>
      </c>
      <c r="N5" s="134" t="n">
        <v>1.71</v>
      </c>
      <c r="O5" s="134" t="n">
        <v>17.1</v>
      </c>
      <c r="P5" s="134" t="n">
        <v>1.2</v>
      </c>
      <c r="Q5" s="134" t="n">
        <v>17.1</v>
      </c>
      <c r="R5" s="134" t="n">
        <v>18.3</v>
      </c>
    </row>
    <row r="6">
      <c r="A6" s="1" t="inlineStr">
        <is>
          <t>2'10'</t>
        </is>
      </c>
      <c r="B6" s="143" t="n">
        <v>61</v>
      </c>
      <c r="C6" s="143" t="n">
        <v>305</v>
      </c>
      <c r="D6" s="134" t="n">
        <v>1.86</v>
      </c>
      <c r="E6" s="143" t="n">
        <v>27</v>
      </c>
      <c r="F6" s="143" t="n">
        <v>24</v>
      </c>
      <c r="G6" s="143" t="n">
        <v>16</v>
      </c>
      <c r="H6" s="146" t="n">
        <v>0.0104</v>
      </c>
      <c r="I6" s="120" t="n">
        <v>9</v>
      </c>
      <c r="J6" s="143" t="n">
        <v>48</v>
      </c>
      <c r="K6" s="143" t="n">
        <v>44</v>
      </c>
      <c r="L6" s="143" t="n">
        <v>48</v>
      </c>
      <c r="M6" s="147" t="n">
        <v>0.101</v>
      </c>
      <c r="N6" s="134" t="n">
        <v>2.1</v>
      </c>
      <c r="O6" s="134" t="n">
        <v>18.9</v>
      </c>
      <c r="P6" s="134" t="n">
        <v>1.2</v>
      </c>
      <c r="Q6" s="134" t="n">
        <v>18.9</v>
      </c>
      <c r="R6" s="134" t="n">
        <v>20.1</v>
      </c>
    </row>
    <row r="7">
      <c r="A7" s="1" t="inlineStr">
        <is>
          <t>3'5'</t>
        </is>
      </c>
      <c r="B7" s="143" t="n">
        <v>91</v>
      </c>
      <c r="C7" s="143" t="n">
        <v>152</v>
      </c>
      <c r="D7" s="134" t="n">
        <v>1.38</v>
      </c>
      <c r="E7" s="143" t="n">
        <v>27</v>
      </c>
      <c r="F7" s="143" t="n">
        <v>26</v>
      </c>
      <c r="G7" s="143" t="n">
        <v>13</v>
      </c>
      <c r="H7" s="146" t="n">
        <v>0.0091</v>
      </c>
      <c r="I7" s="120" t="n">
        <v>11</v>
      </c>
      <c r="J7" s="143" t="n">
        <v>48</v>
      </c>
      <c r="K7" s="143" t="n">
        <v>44</v>
      </c>
      <c r="L7" s="143" t="n">
        <v>48</v>
      </c>
      <c r="M7" s="147" t="n">
        <v>0.101</v>
      </c>
      <c r="N7" s="134" t="n">
        <v>1.59</v>
      </c>
      <c r="O7" s="134" t="n">
        <v>17.49</v>
      </c>
      <c r="P7" s="134" t="n">
        <v>1.2</v>
      </c>
      <c r="Q7" s="134" t="n">
        <v>17.49</v>
      </c>
      <c r="R7" s="134" t="n">
        <v>18.69</v>
      </c>
    </row>
    <row r="8">
      <c r="A8" s="1" t="inlineStr">
        <is>
          <t>4'6'</t>
        </is>
      </c>
      <c r="B8" s="143" t="n">
        <v>122</v>
      </c>
      <c r="C8" s="143" t="n">
        <v>183</v>
      </c>
      <c r="D8" s="134" t="n">
        <v>2.23</v>
      </c>
      <c r="E8" s="143" t="n">
        <v>36</v>
      </c>
      <c r="F8" s="143" t="n">
        <v>27</v>
      </c>
      <c r="G8" s="143" t="n">
        <v>12</v>
      </c>
      <c r="H8" s="146" t="n">
        <v>0.0143</v>
      </c>
      <c r="I8" s="120" t="n">
        <v>7</v>
      </c>
      <c r="J8" s="143" t="n">
        <v>55</v>
      </c>
      <c r="K8" s="143" t="n">
        <v>35</v>
      </c>
      <c r="L8" s="143" t="n">
        <v>50</v>
      </c>
      <c r="M8" s="147" t="n">
        <v>0.096</v>
      </c>
      <c r="N8" s="134" t="n">
        <v>2.75</v>
      </c>
      <c r="O8" s="134" t="n">
        <v>17.99</v>
      </c>
      <c r="P8" s="134" t="n">
        <v>1</v>
      </c>
      <c r="Q8" s="134" t="n">
        <v>17.99</v>
      </c>
      <c r="R8" s="134" t="n">
        <v>18.99</v>
      </c>
    </row>
    <row r="9">
      <c r="A9" s="1" t="inlineStr">
        <is>
          <t>5'7'</t>
        </is>
      </c>
      <c r="B9" s="143" t="n">
        <v>152</v>
      </c>
      <c r="C9" s="143" t="n">
        <v>213</v>
      </c>
      <c r="D9" s="134" t="n">
        <v>3.24</v>
      </c>
      <c r="E9" s="143" t="n">
        <v>39</v>
      </c>
      <c r="F9" s="143" t="n">
        <v>30</v>
      </c>
      <c r="G9" s="143" t="n">
        <v>16</v>
      </c>
      <c r="H9" s="146" t="n">
        <v>0.0187</v>
      </c>
      <c r="I9" s="120" t="n">
        <v>4</v>
      </c>
      <c r="J9" s="143" t="n">
        <v>40</v>
      </c>
      <c r="K9" s="143" t="n">
        <v>34</v>
      </c>
      <c r="L9" s="143" t="n">
        <v>52.5</v>
      </c>
      <c r="M9" s="147" t="n">
        <v>0.074</v>
      </c>
      <c r="N9" s="134" t="n">
        <v>3.72</v>
      </c>
      <c r="O9" s="134" t="n">
        <v>14.88</v>
      </c>
      <c r="P9" s="134" t="n">
        <v>1</v>
      </c>
      <c r="Q9" s="134" t="n">
        <v>14.88</v>
      </c>
      <c r="R9" s="134" t="n">
        <v>15.88</v>
      </c>
    </row>
    <row r="10">
      <c r="A10" s="1" t="inlineStr">
        <is>
          <t>5'8'</t>
        </is>
      </c>
      <c r="B10" s="143" t="n">
        <v>152</v>
      </c>
      <c r="C10" s="143" t="n">
        <v>244</v>
      </c>
      <c r="D10" s="134" t="n">
        <v>3.71</v>
      </c>
      <c r="E10" s="143" t="n">
        <v>41</v>
      </c>
      <c r="F10" s="143" t="n">
        <v>32</v>
      </c>
      <c r="G10" s="143" t="n">
        <v>18</v>
      </c>
      <c r="H10" s="146" t="n">
        <v>0.0236</v>
      </c>
      <c r="I10" s="120" t="n">
        <v>4</v>
      </c>
      <c r="J10" s="143" t="n">
        <v>43</v>
      </c>
      <c r="K10" s="143" t="n">
        <v>36</v>
      </c>
      <c r="L10" s="143" t="n">
        <v>60</v>
      </c>
      <c r="M10" s="147" t="n">
        <v>0.093</v>
      </c>
      <c r="N10" s="134" t="n">
        <v>3.8</v>
      </c>
      <c r="O10" s="134" t="n">
        <v>15.2</v>
      </c>
      <c r="P10" s="134" t="n">
        <v>1.2</v>
      </c>
      <c r="Q10" s="134" t="n">
        <v>15.2</v>
      </c>
      <c r="R10" s="134" t="n">
        <v>16.4</v>
      </c>
    </row>
    <row r="11">
      <c r="A11" s="1" t="inlineStr">
        <is>
          <t>6'9'</t>
        </is>
      </c>
      <c r="B11" s="143" t="n">
        <v>183</v>
      </c>
      <c r="C11" s="143" t="n">
        <v>274</v>
      </c>
      <c r="D11" s="134" t="n">
        <v>5.01</v>
      </c>
      <c r="E11" s="143" t="n">
        <v>40</v>
      </c>
      <c r="F11" s="143" t="n">
        <v>36</v>
      </c>
      <c r="G11" s="143" t="n">
        <v>19</v>
      </c>
      <c r="H11" s="146" t="n">
        <v>0.0274</v>
      </c>
      <c r="I11" s="120" t="n">
        <v>3</v>
      </c>
      <c r="J11" s="143" t="n">
        <v>60</v>
      </c>
      <c r="K11" s="143" t="n">
        <v>41</v>
      </c>
      <c r="L11" s="143" t="n">
        <v>41</v>
      </c>
      <c r="M11" s="147" t="n">
        <v>0.101</v>
      </c>
      <c r="N11" s="134" t="n">
        <v>5.77</v>
      </c>
      <c r="O11" s="134" t="n">
        <v>17.31</v>
      </c>
      <c r="P11" s="134" t="n">
        <v>1.3</v>
      </c>
      <c r="Q11" s="134" t="n">
        <v>17.31</v>
      </c>
      <c r="R11" s="134" t="n">
        <v>18.61</v>
      </c>
    </row>
    <row r="12">
      <c r="A12" s="1" t="inlineStr">
        <is>
          <t>7'9'</t>
        </is>
      </c>
      <c r="B12" s="143" t="n">
        <v>213</v>
      </c>
      <c r="C12" s="143" t="n">
        <v>274</v>
      </c>
      <c r="D12" s="134" t="n">
        <v>5.84</v>
      </c>
      <c r="E12" s="143" t="n">
        <v>45</v>
      </c>
      <c r="F12" s="143" t="n">
        <v>41</v>
      </c>
      <c r="G12" s="143" t="n">
        <v>20</v>
      </c>
      <c r="H12" s="146" t="n">
        <v>0.0369</v>
      </c>
      <c r="I12" s="120" t="n">
        <v>2</v>
      </c>
      <c r="J12" s="143" t="n">
        <v>46</v>
      </c>
      <c r="K12" s="143" t="n">
        <v>42</v>
      </c>
      <c r="L12" s="143" t="n">
        <v>46</v>
      </c>
      <c r="M12" s="147" t="n">
        <v>0.089</v>
      </c>
      <c r="N12" s="134" t="n">
        <v>6.91</v>
      </c>
      <c r="O12" s="134" t="n">
        <v>13.82</v>
      </c>
      <c r="P12" s="134" t="n">
        <v>1.1</v>
      </c>
      <c r="Q12" s="134" t="n">
        <v>13.82</v>
      </c>
      <c r="R12" s="134" t="n">
        <v>14.93</v>
      </c>
    </row>
    <row r="13">
      <c r="A13" s="1" t="inlineStr">
        <is>
          <t>8'10'</t>
        </is>
      </c>
      <c r="B13" s="143" t="n">
        <v>244</v>
      </c>
      <c r="C13" s="143" t="n">
        <v>305</v>
      </c>
      <c r="D13" s="134" t="n">
        <v>7.44</v>
      </c>
      <c r="E13" s="143" t="n">
        <v>44</v>
      </c>
      <c r="F13" s="143" t="n">
        <v>40</v>
      </c>
      <c r="G13" s="143" t="n">
        <v>23</v>
      </c>
      <c r="H13" s="146" t="n">
        <v>0.0405</v>
      </c>
      <c r="I13" s="120" t="n">
        <v>2</v>
      </c>
      <c r="J13" s="143" t="n">
        <v>48</v>
      </c>
      <c r="K13" s="143" t="n">
        <v>44</v>
      </c>
      <c r="L13" s="143" t="n">
        <v>48</v>
      </c>
      <c r="M13" s="147" t="n">
        <v>0.101</v>
      </c>
      <c r="N13" s="134" t="n">
        <v>8.56</v>
      </c>
      <c r="O13" s="134" t="n">
        <v>17.12</v>
      </c>
      <c r="P13" s="134" t="n">
        <v>1.2</v>
      </c>
      <c r="Q13" s="134" t="n">
        <v>17.12</v>
      </c>
      <c r="R13" s="134" t="n">
        <v>18.32</v>
      </c>
    </row>
    <row r="14">
      <c r="A14" s="1" t="inlineStr">
        <is>
          <t>9'12'</t>
        </is>
      </c>
      <c r="B14" s="143" t="n">
        <v>274</v>
      </c>
      <c r="C14" s="143" t="n">
        <v>366</v>
      </c>
      <c r="D14" s="134" t="n">
        <v>10.03</v>
      </c>
      <c r="E14" s="143" t="n">
        <v>49</v>
      </c>
      <c r="F14" s="143" t="n">
        <v>39</v>
      </c>
      <c r="G14" s="143" t="n">
        <v>32</v>
      </c>
      <c r="H14" s="146" t="n">
        <v>0.0612</v>
      </c>
      <c r="I14" s="120" t="n">
        <v>1</v>
      </c>
      <c r="J14" s="143" t="n">
        <v>49</v>
      </c>
      <c r="K14" s="143" t="n">
        <v>39</v>
      </c>
      <c r="L14" s="143" t="n">
        <v>32</v>
      </c>
      <c r="M14" s="147" t="n">
        <v>0.061</v>
      </c>
      <c r="N14" s="134" t="n">
        <v>11.53</v>
      </c>
      <c r="O14" s="134" t="n">
        <v>11.53</v>
      </c>
      <c r="P14" s="134" t="n">
        <v>1</v>
      </c>
      <c r="Q14" s="134" t="n">
        <v>11.53</v>
      </c>
      <c r="R14" s="134" t="n">
        <v>12.53</v>
      </c>
    </row>
    <row r="15">
      <c r="A15" s="1" t="inlineStr">
        <is>
          <t>Φ4'</t>
        </is>
      </c>
      <c r="B15" s="143" t="n">
        <v>122</v>
      </c>
      <c r="C15" s="143" t="n">
        <v>122</v>
      </c>
      <c r="D15" s="134" t="n">
        <v>1.13</v>
      </c>
      <c r="E15" s="143" t="n">
        <v>24</v>
      </c>
      <c r="F15" s="143" t="n">
        <v>22</v>
      </c>
      <c r="G15" s="143" t="n">
        <v>13</v>
      </c>
      <c r="H15" s="146" t="n">
        <v>0.0069</v>
      </c>
      <c r="I15" s="120" t="n">
        <v>12</v>
      </c>
      <c r="J15" s="143" t="n">
        <v>48</v>
      </c>
      <c r="K15" s="143" t="n">
        <v>44</v>
      </c>
      <c r="L15" s="143" t="n">
        <v>48</v>
      </c>
      <c r="M15" s="147" t="n">
        <v>0.101</v>
      </c>
      <c r="N15" s="134" t="n">
        <v>1.3</v>
      </c>
      <c r="O15" s="134" t="n">
        <v>15.6</v>
      </c>
      <c r="P15" s="134" t="n">
        <v>1.2</v>
      </c>
      <c r="Q15" s="134" t="n">
        <v>15.6</v>
      </c>
      <c r="R15" s="134" t="n">
        <v>16.8</v>
      </c>
    </row>
    <row r="16">
      <c r="A16" s="1" t="inlineStr">
        <is>
          <t>Φ6'</t>
        </is>
      </c>
      <c r="B16" s="143" t="n">
        <v>183</v>
      </c>
      <c r="C16" s="143" t="n">
        <v>183</v>
      </c>
      <c r="D16" s="134" t="n">
        <v>2.54</v>
      </c>
      <c r="E16" s="143" t="n">
        <v>36</v>
      </c>
      <c r="F16" s="143" t="n">
        <v>26</v>
      </c>
      <c r="G16" s="143" t="n">
        <v>18</v>
      </c>
      <c r="H16" s="146" t="n">
        <v>0.0168</v>
      </c>
      <c r="I16" s="120" t="n">
        <v>6</v>
      </c>
      <c r="J16" s="143" t="n">
        <v>55</v>
      </c>
      <c r="K16" s="143" t="n">
        <v>35</v>
      </c>
      <c r="L16" s="143" t="n">
        <v>50</v>
      </c>
      <c r="M16" s="147" t="n">
        <v>0.096</v>
      </c>
      <c r="N16" s="134" t="n">
        <v>2.92</v>
      </c>
      <c r="O16" s="134" t="n">
        <v>17.52</v>
      </c>
      <c r="P16" s="134" t="n">
        <v>1</v>
      </c>
      <c r="Q16" s="134" t="n">
        <v>17.52</v>
      </c>
      <c r="R16" s="134" t="n">
        <v>18.52</v>
      </c>
    </row>
    <row r="17">
      <c r="A17" s="1" t="inlineStr">
        <is>
          <t>Φ8'</t>
        </is>
      </c>
      <c r="B17" s="143" t="n">
        <v>244</v>
      </c>
      <c r="C17" s="143" t="n">
        <v>244</v>
      </c>
      <c r="D17" s="134" t="n">
        <v>4.52</v>
      </c>
      <c r="E17" s="143" t="n">
        <v>38</v>
      </c>
      <c r="F17" s="143" t="n">
        <v>34</v>
      </c>
      <c r="G17" s="143" t="n">
        <v>20</v>
      </c>
      <c r="H17" s="146" t="n">
        <v>0.0258</v>
      </c>
      <c r="I17" s="120" t="n">
        <v>3</v>
      </c>
      <c r="J17" s="143" t="n">
        <v>55</v>
      </c>
      <c r="K17" s="143" t="n">
        <v>35</v>
      </c>
      <c r="L17" s="143" t="n">
        <v>50</v>
      </c>
      <c r="M17" s="147" t="n">
        <v>0.096</v>
      </c>
      <c r="N17" s="134" t="n">
        <v>5.2</v>
      </c>
      <c r="O17" s="134" t="n">
        <v>15.6</v>
      </c>
      <c r="P17" s="134" t="n">
        <v>1</v>
      </c>
      <c r="Q17" s="134" t="n">
        <v>15.6</v>
      </c>
      <c r="R17" s="134" t="n">
        <v>16.6</v>
      </c>
    </row>
    <row r="18">
      <c r="A18" s="1" t="inlineStr">
        <is>
          <t>10'14'</t>
        </is>
      </c>
      <c r="B18" s="143" t="n">
        <v>305</v>
      </c>
      <c r="C18" s="143" t="n">
        <v>427</v>
      </c>
      <c r="D18" s="134" t="n">
        <v>13.02</v>
      </c>
      <c r="E18" s="143" t="n">
        <v>55</v>
      </c>
      <c r="F18" s="143" t="n">
        <v>43</v>
      </c>
      <c r="G18" s="143" t="n">
        <v>30</v>
      </c>
      <c r="H18" s="146" t="n">
        <v>0.07099999999999999</v>
      </c>
      <c r="I18" s="120" t="n">
        <v>1</v>
      </c>
      <c r="J18" s="143" t="n">
        <v>55</v>
      </c>
      <c r="K18" s="143" t="n">
        <v>43</v>
      </c>
      <c r="L18" s="143" t="n">
        <v>30</v>
      </c>
      <c r="M18" s="147" t="n">
        <v>0.07099999999999999</v>
      </c>
      <c r="N18" s="134" t="n">
        <v>15</v>
      </c>
      <c r="O18" s="134" t="n">
        <v>15</v>
      </c>
      <c r="P18" s="134" t="n">
        <v>1</v>
      </c>
      <c r="Q18" s="134" t="n">
        <v>15</v>
      </c>
      <c r="R18" s="134" t="n">
        <v>16</v>
      </c>
    </row>
    <row r="19">
      <c r="A19" s="1" t="inlineStr">
        <is>
          <t>8'8'</t>
        </is>
      </c>
      <c r="B19" s="143" t="n">
        <v>244</v>
      </c>
      <c r="C19" s="143" t="n">
        <v>244</v>
      </c>
      <c r="D19" s="134" t="n">
        <v>5.95</v>
      </c>
      <c r="E19" s="143" t="n">
        <v>43</v>
      </c>
      <c r="F19" s="143" t="n">
        <v>43</v>
      </c>
      <c r="G19" s="143" t="n">
        <v>22</v>
      </c>
      <c r="H19" s="146" t="n">
        <v>0.0407</v>
      </c>
      <c r="I19" s="120" t="n">
        <v>2</v>
      </c>
      <c r="J19" s="143" t="n">
        <v>48</v>
      </c>
      <c r="K19" s="143" t="n">
        <v>44</v>
      </c>
      <c r="L19" s="143" t="n">
        <v>48</v>
      </c>
      <c r="M19" s="147" t="n">
        <v>0.101</v>
      </c>
      <c r="N19" s="134" t="n">
        <v>6.8</v>
      </c>
      <c r="O19" s="134" t="n">
        <v>13.6</v>
      </c>
      <c r="P19" s="134" t="n">
        <v>1.2</v>
      </c>
      <c r="Q19" s="134" t="n">
        <v>13.6</v>
      </c>
      <c r="R19" s="134" t="n">
        <v>14.8</v>
      </c>
    </row>
    <row r="20">
      <c r="A20" s="1" t="inlineStr">
        <is>
          <t>Φ3.15'</t>
        </is>
      </c>
      <c r="B20" s="143" t="n">
        <v>96</v>
      </c>
      <c r="C20" s="143" t="n">
        <v>96</v>
      </c>
      <c r="D20" s="114" t="n"/>
      <c r="E20" s="143" t="n">
        <v>24</v>
      </c>
      <c r="F20" s="143" t="n">
        <v>22</v>
      </c>
      <c r="G20" s="143" t="n">
        <v>13</v>
      </c>
      <c r="H20" s="148" t="n"/>
      <c r="I20" s="120" t="n">
        <v>20</v>
      </c>
      <c r="J20" s="143" t="n">
        <v>48</v>
      </c>
      <c r="K20" s="143" t="n">
        <v>44</v>
      </c>
      <c r="L20" s="143" t="n">
        <v>48</v>
      </c>
      <c r="M20" s="149" t="n"/>
      <c r="N20" s="134" t="n">
        <v>0.86</v>
      </c>
      <c r="O20" s="134" t="n">
        <v>17.2</v>
      </c>
      <c r="P20" s="134" t="n">
        <v>1.4</v>
      </c>
      <c r="Q20" s="134" t="n">
        <v>17.2</v>
      </c>
      <c r="R20" s="134" t="n">
        <v>18.6</v>
      </c>
      <c r="S20" s="1" t="inlineStr">
        <is>
          <t>新</t>
        </is>
      </c>
    </row>
    <row r="21">
      <c r="A21" s="1" t="inlineStr">
        <is>
          <t>Φ3.4'</t>
        </is>
      </c>
      <c r="B21" s="143" t="n">
        <v>103.6</v>
      </c>
      <c r="C21" s="143" t="n">
        <v>103.6</v>
      </c>
      <c r="D21" s="114" t="n"/>
      <c r="E21" s="143" t="n">
        <v>24</v>
      </c>
      <c r="F21" s="143" t="n">
        <v>22</v>
      </c>
      <c r="G21" s="143" t="n">
        <v>13</v>
      </c>
      <c r="H21" s="148" t="n"/>
      <c r="I21" s="120" t="n">
        <v>18</v>
      </c>
      <c r="J21" s="143" t="n">
        <v>48</v>
      </c>
      <c r="K21" s="143" t="n">
        <v>44</v>
      </c>
      <c r="L21" s="143" t="n">
        <v>48</v>
      </c>
      <c r="M21" s="149" t="n"/>
      <c r="N21" s="134" t="n">
        <v>1</v>
      </c>
      <c r="O21" s="134" t="n">
        <v>18</v>
      </c>
      <c r="P21" s="134" t="n">
        <v>1.4</v>
      </c>
      <c r="Q21" s="134" t="n">
        <v>18</v>
      </c>
      <c r="R21" s="134" t="n">
        <v>19.4</v>
      </c>
      <c r="S21" s="1" t="inlineStr">
        <is>
          <t>新</t>
        </is>
      </c>
    </row>
    <row r="22">
      <c r="A22" s="1" t="inlineStr">
        <is>
          <t>Φ5'</t>
        </is>
      </c>
      <c r="B22" s="143" t="n">
        <v>152</v>
      </c>
      <c r="C22" s="143" t="n">
        <v>152</v>
      </c>
      <c r="D22" s="114" t="n"/>
      <c r="E22" s="143" t="n">
        <v>34</v>
      </c>
      <c r="F22" s="143" t="n">
        <v>40</v>
      </c>
      <c r="G22" s="143" t="n">
        <v>9</v>
      </c>
      <c r="H22" s="148" t="n"/>
      <c r="I22" s="120" t="n">
        <v>7</v>
      </c>
      <c r="J22" s="143" t="n">
        <v>40</v>
      </c>
      <c r="K22" s="143" t="n">
        <v>34</v>
      </c>
      <c r="L22" s="143" t="n">
        <v>52.5</v>
      </c>
      <c r="M22" s="149" t="n"/>
      <c r="N22" s="134" t="n">
        <v>2.14</v>
      </c>
      <c r="O22" s="134" t="n">
        <v>14.98</v>
      </c>
      <c r="P22" s="134" t="n">
        <v>1.2</v>
      </c>
      <c r="Q22" s="134" t="n">
        <v>14.98</v>
      </c>
      <c r="R22" s="134" t="n">
        <v>16.8</v>
      </c>
      <c r="S22" s="1" t="inlineStr">
        <is>
          <t>新</t>
        </is>
      </c>
    </row>
    <row r="23">
      <c r="A23" s="1" t="inlineStr">
        <is>
          <t>2.6*8</t>
        </is>
      </c>
      <c r="B23" s="143" t="n">
        <v>81</v>
      </c>
      <c r="C23" s="143" t="n">
        <v>244</v>
      </c>
      <c r="D23" s="114" t="n"/>
      <c r="E23" s="143" t="n">
        <v>41</v>
      </c>
      <c r="F23" s="143" t="n">
        <v>33</v>
      </c>
      <c r="G23" s="143" t="n">
        <v>9</v>
      </c>
      <c r="H23" s="148" t="n"/>
      <c r="I23" s="120" t="n">
        <v>8</v>
      </c>
      <c r="J23" s="143" t="n">
        <v>44</v>
      </c>
      <c r="K23" s="143" t="n">
        <v>33</v>
      </c>
      <c r="L23" s="143" t="n">
        <v>48</v>
      </c>
      <c r="M23" s="149" t="n"/>
      <c r="N23" s="134" t="n">
        <v>2.36</v>
      </c>
      <c r="O23" s="134" t="n">
        <v>18.88</v>
      </c>
      <c r="P23" s="134" t="n">
        <v>1.1</v>
      </c>
      <c r="Q23" s="134" t="n">
        <v>18.88</v>
      </c>
      <c r="R23" s="134" t="n">
        <v>19.98</v>
      </c>
    </row>
    <row r="24">
      <c r="B24" s="143" t="n">
        <v>91</v>
      </c>
      <c r="C24" s="143" t="n">
        <v>244</v>
      </c>
      <c r="D24" s="114" t="n"/>
      <c r="E24" s="143" t="n">
        <v>43</v>
      </c>
      <c r="F24" s="143" t="n">
        <v>25</v>
      </c>
      <c r="G24" s="143" t="n">
        <v>12</v>
      </c>
      <c r="H24" s="148" t="n"/>
      <c r="I24" s="120" t="n">
        <v>7</v>
      </c>
      <c r="J24" s="143" t="n">
        <v>48</v>
      </c>
      <c r="K24" s="143" t="n">
        <v>44</v>
      </c>
      <c r="L24" s="143" t="n">
        <v>48</v>
      </c>
      <c r="M24" s="149" t="n"/>
      <c r="N24" s="134" t="n">
        <v>2.7</v>
      </c>
      <c r="O24" s="134" t="n">
        <v>18.9</v>
      </c>
      <c r="P24" s="134" t="n">
        <v>1.2</v>
      </c>
      <c r="Q24" s="134" t="n">
        <v>18.9</v>
      </c>
      <c r="R24" s="134" t="n">
        <v>20.1</v>
      </c>
    </row>
    <row r="25">
      <c r="B25" s="145" t="n"/>
      <c r="C25" s="145" t="n"/>
      <c r="D25" s="114" t="n"/>
      <c r="E25" s="145" t="n"/>
      <c r="F25" s="145" t="n"/>
      <c r="G25" s="145" t="n"/>
      <c r="H25" s="148" t="n"/>
      <c r="I25" s="144" t="n"/>
      <c r="J25" s="145" t="n"/>
      <c r="K25" s="145" t="n"/>
      <c r="L25" s="145" t="n"/>
      <c r="M25" s="149" t="n"/>
      <c r="N25" s="114" t="n"/>
      <c r="O25" s="114" t="n"/>
      <c r="P25" s="114" t="n"/>
      <c r="Q25" s="114" t="n"/>
      <c r="R25" s="11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8" customWidth="1" style="67" min="1" max="1"/>
    <col width="28" customWidth="1" style="67" min="2" max="2"/>
    <col width="40" customWidth="1" style="67" min="3" max="3"/>
  </cols>
  <sheetData>
    <row r="1">
      <c r="A1" s="98" t="inlineStr">
        <is>
          <t>地毯加拿大定价规则 → 已并入方式（防重复计算）</t>
        </is>
      </c>
    </row>
    <row r="3">
      <c r="A3" s="99" t="inlineStr">
        <is>
          <t>原规则字段</t>
        </is>
      </c>
      <c r="B3" s="99" t="inlineStr">
        <is>
          <t>本表对应</t>
        </is>
      </c>
      <c r="C3" s="99" t="inlineStr">
        <is>
          <t>处理方式</t>
        </is>
      </c>
    </row>
    <row r="4">
      <c r="A4" s="1" t="inlineStr">
        <is>
          <t>平米（长宽）</t>
        </is>
      </c>
      <c r="B4" s="1" t="inlineStr">
        <is>
          <t>仅箱规维护（主表R/S/T已清空隐藏）</t>
        </is>
      </c>
      <c r="C4" s="1" t="inlineStr">
        <is>
          <t>勿再使用主表产品长/宽/平米列</t>
        </is>
      </c>
    </row>
    <row r="5">
      <c r="A5" s="1" t="inlineStr">
        <is>
          <t>采购=平米×单价</t>
        </is>
      </c>
      <c r="B5" s="1" t="inlineStr">
        <is>
          <t>单价固定19元/㎡（参数!B15）</t>
        </is>
      </c>
      <c r="C5" s="1" t="inlineStr">
        <is>
          <t>V=箱规面积×19；X=V/汇率</t>
        </is>
      </c>
    </row>
    <row r="6">
      <c r="A6" s="1" t="inlineStr">
        <is>
          <t>物流RMB</t>
        </is>
      </c>
      <c r="B6" s="1" t="inlineStr">
        <is>
          <t>头程运费(RMB)</t>
        </is>
      </c>
      <c r="C6" s="1" t="inlineStr">
        <is>
          <t>沿用原列，不另加「物流」避免重复</t>
        </is>
      </c>
    </row>
    <row r="7">
      <c r="A7" s="1" t="inlineStr">
        <is>
          <t>FBA配送费</t>
        </is>
      </c>
      <c r="B7" s="1" t="inlineStr">
        <is>
          <t>见「FBA规则」+ 主表R/S/T/AB</t>
        </is>
      </c>
      <c r="C7" s="1" t="inlineStr">
        <is>
          <t>计费重→分段→费用；尺寸来自箱规单件长宽高</t>
        </is>
      </c>
    </row>
    <row r="8">
      <c r="A8" s="1" t="inlineStr">
        <is>
          <t>佣金/广告/退货</t>
        </is>
      </c>
      <c r="B8" s="1" t="inlineStr">
        <is>
          <t>佣金率/广告率/退款率</t>
        </is>
      </c>
      <c r="C8" s="1" t="inlineStr">
        <is>
          <t>沿用，不平行复制</t>
        </is>
      </c>
    </row>
    <row r="9">
      <c r="A9" s="1" t="inlineStr">
        <is>
          <t>仓储费2%</t>
        </is>
      </c>
      <c r="B9" s="1" t="inlineStr">
        <is>
          <t>仓储费率+仓储费</t>
        </is>
      </c>
      <c r="C9" s="1" t="inlineStr">
        <is>
          <t>新增并入总成本</t>
        </is>
      </c>
    </row>
    <row r="10">
      <c r="A10" s="1" t="inlineStr">
        <is>
          <t>优惠券</t>
        </is>
      </c>
      <c r="B10" s="1" t="inlineStr">
        <is>
          <t>优惠券(USD)</t>
        </is>
      </c>
      <c r="C10" s="1" t="inlineStr">
        <is>
          <t>新增并入总成本</t>
        </is>
      </c>
    </row>
    <row r="11">
      <c r="A11" s="1" t="inlineStr">
        <is>
          <t>引流行/盈利行</t>
        </is>
      </c>
      <c r="B11" s="1" t="inlineStr">
        <is>
          <t>保本状态 / 销售状态</t>
        </is>
      </c>
      <c r="C11" s="1" t="inlineStr">
        <is>
          <t>用两套售价列表达，不复制整行</t>
        </is>
      </c>
    </row>
    <row r="14">
      <c r="A14" s="99" t="inlineStr">
        <is>
          <t>海运报价关联</t>
        </is>
      </c>
    </row>
    <row r="15">
      <c r="A15" s="1" t="inlineStr">
        <is>
          <t>凯琦月更报价</t>
        </is>
      </c>
      <c r="B15" s="1" t="inlineStr">
        <is>
          <t>海运报价（中间表）</t>
        </is>
      </c>
      <c r="C15" s="1" t="inlineStr">
        <is>
          <t>不直接引用凯琦多Sheet原文件；每月覆盖更新中间表数字，主表公式不变</t>
        </is>
      </c>
    </row>
    <row r="16">
      <c r="A16" s="1" t="inlineStr">
        <is>
          <t>陆运</t>
        </is>
      </c>
      <c r="B16" s="1" t="inlineStr">
        <is>
          <t>陆运运费(BL)手填</t>
        </is>
      </c>
      <c r="C16" s="1" t="inlineStr">
        <is>
          <t>与海运分开，避免混算</t>
        </is>
      </c>
    </row>
    <row r="17">
      <c r="A17" s="1" t="inlineStr">
        <is>
          <t>头程合计</t>
        </is>
      </c>
      <c r="B17" s="1" t="inlineStr">
        <is>
          <t>AA = 海运运费 + 陆运运费</t>
        </is>
      </c>
      <c r="C17" s="1" t="inlineStr">
        <is>
          <t>已接入保本/销售总成本</t>
        </is>
      </c>
    </row>
    <row r="19">
      <c r="A19" s="99" t="inlineStr">
        <is>
          <t>宏更新（推荐）</t>
        </is>
      </c>
    </row>
    <row r="20">
      <c r="A20" s="1" t="inlineStr">
        <is>
          <t>RefreshOceanFreight</t>
        </is>
      </c>
      <c r="B20" s="1" t="inlineStr">
        <is>
          <t>读取凯琦FBA报价_当期.xlsx</t>
        </is>
      </c>
      <c r="C20" s="1" t="inlineStr">
        <is>
          <t>自动重建「海运报价」；主表公式不变。见 宏更新说明.txt / 更新海运报价.bas</t>
        </is>
      </c>
    </row>
    <row r="22">
      <c r="A22" s="1" t="inlineStr">
        <is>
          <t>可变值与汇率</t>
        </is>
      </c>
    </row>
    <row r="23">
      <c r="A23" s="1" t="inlineStr">
        <is>
          <t>竞品售价 / 保本售价 / 利润售价</t>
        </is>
      </c>
      <c r="B23" s="1" t="inlineStr">
        <is>
          <t>F / G / H（手填 USD）</t>
        </is>
      </c>
      <c r="C23" s="1" t="inlineStr">
        <is>
          <t>保本块用G，销售块用H；竞品F仅对照</t>
        </is>
      </c>
    </row>
    <row r="24">
      <c r="A24" s="1" t="inlineStr">
        <is>
          <t>佣金/退款/广告/提现</t>
        </is>
      </c>
      <c r="B24" s="1" t="inlineStr">
        <is>
          <t>默认 15% / 7% / 15% / 1%</t>
        </is>
      </c>
      <c r="C24" s="1" t="inlineStr">
        <is>
          <t>写在 I–L，可按行改</t>
        </is>
      </c>
    </row>
    <row r="25">
      <c r="A25" s="1" t="inlineStr">
        <is>
          <t>汇率</t>
        </is>
      </c>
      <c r="B25" s="1" t="inlineStr">
        <is>
          <t>参数!B2（USD→CNY）</t>
        </is>
      </c>
      <c r="C25" s="1" t="inlineStr">
        <is>
          <t>主表 M 列公式引用；更新汇率.py 每日刷新</t>
        </is>
      </c>
    </row>
    <row r="27">
      <c r="A27" s="1" t="inlineStr">
        <is>
          <t>自动售价（两套）</t>
        </is>
      </c>
    </row>
    <row r="28">
      <c r="A28" s="1" t="inlineStr">
        <is>
          <t>保本售价</t>
        </is>
      </c>
      <c r="B28" s="1" t="inlineStr">
        <is>
          <t>ROUNDUP((采购USD+头程USD+FBA+优惠券+中转-退税)/(1-费率合计),2)</t>
        </is>
      </c>
      <c r="C28" s="1" t="inlineStr">
        <is>
          <t>保证利润(含退税)≥0</t>
        </is>
      </c>
    </row>
    <row r="29">
      <c r="A29" s="1" t="inlineStr">
        <is>
          <t>利润售价</t>
        </is>
      </c>
      <c r="B29" s="1" t="inlineStr">
        <is>
          <t>ROUND(同上分子/(1-费率合计-目标利润率),2)</t>
        </is>
      </c>
      <c r="C29" s="1" t="inlineStr">
        <is>
          <t>默认目标利润率30%</t>
        </is>
      </c>
    </row>
    <row r="30">
      <c r="A30" s="1" t="inlineStr">
        <is>
          <t>必填</t>
        </is>
      </c>
      <c r="B30" s="1" t="inlineStr">
        <is>
          <t>尺寸 + 起运地 + FBA仓</t>
        </is>
      </c>
      <c r="C30" s="1" t="inlineStr">
        <is>
          <t>渠道可选；空则MIN海运单价</t>
        </is>
      </c>
    </row>
    <row r="31">
      <c r="A31" s="1" t="inlineStr">
        <is>
          <t>海运计价规则</t>
        </is>
      </c>
    </row>
    <row r="32">
      <c r="A32" s="1" t="inlineStr">
        <is>
          <t>渠道为空</t>
        </is>
      </c>
      <c r="B32" s="1" t="inlineStr">
        <is>
          <t>海运下拉!最低单价（随起运地+FBA仓变）</t>
        </is>
      </c>
      <c r="C32" s="1" t="inlineStr">
        <is>
          <t>改仓库后保本/利润售价自动变</t>
        </is>
      </c>
    </row>
    <row r="33">
      <c r="A33" s="1" t="inlineStr">
        <is>
          <t>渠道已填</t>
        </is>
      </c>
      <c r="B33" s="1" t="inlineStr">
        <is>
          <t>海运报价精确匹配 渠道+起运地+仓</t>
        </is>
      </c>
      <c r="C33" s="1" t="inlineStr">
        <is>
          <t>不匹配则单价空白并提示</t>
        </is>
      </c>
    </row>
    <row r="34">
      <c r="A34" s="1" t="inlineStr">
        <is>
          <t>按件分摊</t>
        </is>
      </c>
    </row>
    <row r="35">
      <c r="A35" s="1" t="inlineStr">
        <is>
          <t>采购</t>
        </is>
      </c>
      <c r="B35" s="1" t="inlineStr">
        <is>
          <t>单件面积×19（本来就是一件）</t>
        </is>
      </c>
    </row>
    <row r="36">
      <c r="A36" s="1" t="inlineStr">
        <is>
          <t>头程运费</t>
        </is>
      </c>
      <c r="B36" s="1" t="inlineStr">
        <is>
          <t>单箱计费重×单价 → 单箱运费 ÷ 装数 = 一件头程</t>
        </is>
      </c>
    </row>
    <row r="37">
      <c r="A37" s="1" t="inlineStr">
        <is>
          <t>FBA</t>
        </is>
      </c>
      <c r="B37" s="1" t="inlineStr">
        <is>
          <t>按单件净重(kg)计算，不再用整箱毛重</t>
        </is>
      </c>
    </row>
    <row r="38">
      <c r="A38" s="1" t="inlineStr">
        <is>
          <t>FBA计算步骤</t>
        </is>
      </c>
    </row>
    <row r="39">
      <c r="A39" s="1" t="inlineStr">
        <is>
          <t>1.抓取</t>
        </is>
      </c>
      <c r="B39" s="1" t="inlineStr">
        <is>
          <t>箱规：单件长/宽/高(cm)、单件净重(kg)</t>
        </is>
      </c>
    </row>
    <row r="40">
      <c r="A40" s="1" t="inlineStr">
        <is>
          <t>2.计费重</t>
        </is>
      </c>
      <c r="B40" s="1" t="inlineStr">
        <is>
          <t>实重lb=kg×2.2046；抛重=(L×W×H inch)/139；计费重=MAX(实重,抛重)</t>
        </is>
      </c>
    </row>
    <row r="41">
      <c r="A41" s="1" t="inlineStr">
        <is>
          <t>3.尺寸段</t>
        </is>
      </c>
      <c r="B41" s="1" t="inlineStr">
        <is>
          <t>小标准/大标准/大件/超大（看边长与长+围长是否超限）</t>
        </is>
      </c>
    </row>
    <row r="42">
      <c r="A42" s="1" t="inlineStr">
        <is>
          <t>4.费用</t>
        </is>
      </c>
      <c r="B42" s="1" t="inlineStr">
        <is>
          <t>按分段与计费重查FBA规则表（2025美站非旺季估算）</t>
        </is>
      </c>
    </row>
    <row r="43">
      <c r="A43" s="1" t="inlineStr">
        <is>
          <t>FBA旺季判断</t>
        </is>
      </c>
    </row>
    <row r="44">
      <c r="A44" s="1" t="inlineStr">
        <is>
          <t>发货/出库日</t>
        </is>
      </c>
      <c r="B44" s="1" t="inlineStr">
        <is>
          <t>参数!B22（可改）</t>
        </is>
      </c>
      <c r="C44" s="1" t="inlineStr">
        <is>
          <t>按货件离开运营中心日期估算</t>
        </is>
      </c>
    </row>
    <row r="45">
      <c r="A45" s="1" t="inlineStr">
        <is>
          <t>旺季窗口</t>
        </is>
      </c>
      <c r="B45" s="1" t="inlineStr">
        <is>
          <t>每年 10/15–次年 1/14</t>
        </is>
      </c>
      <c r="C45" s="1" t="inlineStr">
        <is>
          <t>参数!B23 自动显示旺季/非旺季</t>
        </is>
      </c>
    </row>
    <row r="46">
      <c r="A46" s="1" t="inlineStr">
        <is>
          <t>费率</t>
        </is>
      </c>
      <c r="B46" s="1" t="inlineStr">
        <is>
          <t>FBA规则表：绿=非旺季，橙=旺季</t>
        </is>
      </c>
      <c r="C46" s="1" t="inlineStr">
        <is>
          <t>AB/AQ 按季节自动引用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cols>
    <col width="22" customWidth="1" style="67" min="1" max="1"/>
    <col width="14" customWidth="1" style="67" min="2" max="2"/>
    <col width="36" customWidth="1" style="67" min="3" max="3"/>
    <col width="14" customWidth="1" style="67" min="5" max="5"/>
    <col width="14" customWidth="1" style="67" min="6" max="6"/>
    <col width="14" customWidth="1" style="67" min="7" max="7"/>
    <col width="14" customWidth="1" style="67" min="8" max="8"/>
    <col width="14" customWidth="1" style="67" min="9" max="9"/>
    <col width="14" customWidth="1" style="67" min="11" max="11"/>
    <col width="14" customWidth="1" style="67" min="12" max="12"/>
    <col width="14" customWidth="1" style="67" min="16" max="16"/>
    <col width="14" customWidth="1" style="67" min="19" max="19"/>
    <col width="14" customWidth="1" style="67" min="20" max="20"/>
    <col width="14" customWidth="1" style="67" min="21" max="21"/>
    <col width="14" customWidth="1" style="67" min="22" max="22"/>
    <col width="14" customWidth="1" style="67" min="24" max="24"/>
  </cols>
  <sheetData>
    <row r="1">
      <c r="A1" s="103" t="inlineStr">
        <is>
          <t>利润表（桥接页·按表头从「全尺寸利润/参数/采购成本对比」取值）</t>
        </is>
      </c>
    </row>
    <row r="2">
      <c r="A2" s="1" t="inlineStr">
        <is>
          <t>选用尺寸（改这里，下面指标跟着变）</t>
        </is>
      </c>
      <c r="B2" s="296" t="inlineStr">
        <is>
          <t>2'3'</t>
        </is>
      </c>
    </row>
    <row r="3">
      <c r="A3" s="1" t="inlineStr">
        <is>
          <t>说明：旧模板单元格位置保留（F15/H14/P14/S14/T14/U15/X15/I15），内容用INDEX+MATCH按表头跳转。</t>
        </is>
      </c>
    </row>
    <row r="5">
      <c r="A5" s="99" t="inlineStr">
        <is>
          <t>桥接映射（表头）</t>
        </is>
      </c>
    </row>
    <row r="6">
      <c r="A6" s="297" t="inlineStr">
        <is>
          <t>旧单元格</t>
        </is>
      </c>
      <c r="B6" s="297" t="inlineStr">
        <is>
          <t>含义</t>
        </is>
      </c>
      <c r="C6" s="297" t="inlineStr">
        <is>
          <t>新来源表头/位置</t>
        </is>
      </c>
    </row>
    <row r="7">
      <c r="A7" s="1" t="inlineStr">
        <is>
          <t>F15</t>
        </is>
      </c>
      <c r="B7" s="1" t="inlineStr">
        <is>
          <t>货=采购成本RMB/件</t>
        </is>
      </c>
      <c r="C7" s="1" t="inlineStr">
        <is>
          <t>全尺寸利润!采购RMB/件</t>
        </is>
      </c>
    </row>
    <row r="8">
      <c r="A8" s="1" t="inlineStr">
        <is>
          <t>H14</t>
        </is>
      </c>
      <c r="B8" s="1" t="inlineStr">
        <is>
          <t>头程物流RMB/件</t>
        </is>
      </c>
      <c r="C8" s="1" t="inlineStr">
        <is>
          <t>全尺寸利润!头程RMB/件</t>
        </is>
      </c>
    </row>
    <row r="9">
      <c r="A9" s="1" t="inlineStr">
        <is>
          <t>P14</t>
        </is>
      </c>
      <c r="B9" s="1" t="inlineStr">
        <is>
          <t>广告费USD/件</t>
        </is>
      </c>
      <c r="C9" s="1" t="inlineStr">
        <is>
          <t>20%售价 × 采购成本对比!广告率</t>
        </is>
      </c>
    </row>
    <row r="10">
      <c r="A10" s="1" t="inlineStr">
        <is>
          <t>S14</t>
        </is>
      </c>
      <c r="B10" s="1" t="inlineStr">
        <is>
          <t>退款费USD/件</t>
        </is>
      </c>
      <c r="C10" s="1" t="inlineStr">
        <is>
          <t>20%售价 × 退款率</t>
        </is>
      </c>
    </row>
    <row r="11">
      <c r="A11" s="1" t="inlineStr">
        <is>
          <t>T14</t>
        </is>
      </c>
      <c r="B11" s="1" t="inlineStr">
        <is>
          <t>佣金USD/件</t>
        </is>
      </c>
      <c r="C11" s="1" t="inlineStr">
        <is>
          <t>采购成本对比!AG4（保本侧仓储费率；勿用AV重复列）</t>
        </is>
      </c>
    </row>
    <row r="12">
      <c r="A12" s="1" t="inlineStr">
        <is>
          <t>U15</t>
        </is>
      </c>
      <c r="B12" s="1" t="inlineStr">
        <is>
          <t>20%利润售价USD</t>
        </is>
      </c>
      <c r="C12" s="1" t="inlineStr">
        <is>
          <t>按成本反推目标利润率20%</t>
        </is>
      </c>
    </row>
    <row r="13">
      <c r="A13" s="1" t="inlineStr">
        <is>
          <t>X15</t>
        </is>
      </c>
      <c r="B13" s="1" t="inlineStr">
        <is>
          <t>汇率</t>
        </is>
      </c>
      <c r="C13" s="1" t="inlineStr">
        <is>
          <t>参数!B2</t>
        </is>
      </c>
      <c r="H13" s="1" t="inlineStr">
        <is>
          <t>头程RMB/件</t>
        </is>
      </c>
      <c r="P13" s="1" t="inlineStr">
        <is>
          <t>广告USD/件</t>
        </is>
      </c>
      <c r="S13" s="1" t="inlineStr">
        <is>
          <t>退款USD/件</t>
        </is>
      </c>
      <c r="T13" s="1" t="inlineStr">
        <is>
          <t>佣金USD/件</t>
        </is>
      </c>
    </row>
    <row r="14">
      <c r="A14" s="1" t="inlineStr">
        <is>
          <t>I15</t>
        </is>
      </c>
      <c r="B14" s="1" t="inlineStr">
        <is>
          <t>单件综合成本RMB</t>
        </is>
      </c>
      <c r="C14" s="1" t="inlineStr">
        <is>
          <t>采购RMB+头程RMB+FBA×汇率</t>
        </is>
      </c>
      <c r="E14" s="1" t="inlineStr">
        <is>
          <t>采购USD/件</t>
        </is>
      </c>
      <c r="F14" s="1" t="inlineStr">
        <is>
          <t>采购RMB/件</t>
        </is>
      </c>
      <c r="G14" s="1" t="inlineStr">
        <is>
          <t>FBA USD/件</t>
        </is>
      </c>
      <c r="H14" s="298">
        <f>INDEX(全尺寸利润!$K$4:$K$50,MATCH($B$2,全尺寸利润!$A$4:$A$50,0))</f>
        <v/>
      </c>
      <c r="I14" s="1" t="inlineStr">
        <is>
          <t>单件综合成本RMB</t>
        </is>
      </c>
      <c r="K14" s="1" t="inlineStr">
        <is>
          <t>费率合计</t>
        </is>
      </c>
      <c r="L14" s="1" t="inlineStr">
        <is>
          <t>目标利润率(本页U15)</t>
        </is>
      </c>
      <c r="P14" s="119">
        <f>IF(U15="","",U15*采购成本对比!K4)</f>
        <v/>
      </c>
      <c r="S14" s="119">
        <f>IF(U15="","",U15*采购成本对比!J4)</f>
        <v/>
      </c>
      <c r="T14" s="119">
        <f>IF(U15="","",U15*采购成本对比!I4)</f>
        <v/>
      </c>
      <c r="U14" s="1" t="inlineStr">
        <is>
          <t>20%利润售价USD</t>
        </is>
      </c>
      <c r="V14" s="1" t="inlineStr">
        <is>
          <t>30%利润售价(全尺寸利润)</t>
        </is>
      </c>
      <c r="X14" s="1" t="inlineStr">
        <is>
          <t>汇率</t>
        </is>
      </c>
    </row>
    <row r="15">
      <c r="E15" s="119">
        <f>INDEX(全尺寸利润!$J$4:$J$50,MATCH($B$2,全尺寸利润!$A$4:$A$50,0))</f>
        <v/>
      </c>
      <c r="F15" s="298">
        <f>INDEX(全尺寸利润!$I$4:$I$50,MATCH($B$2,全尺寸利润!$A$4:$A$50,0))</f>
        <v/>
      </c>
      <c r="G15" s="119">
        <f>INDEX(全尺寸利润!$L$4:$L$50,MATCH($B$2,全尺寸利润!$A$4:$A$50,0))</f>
        <v/>
      </c>
      <c r="I15" s="299">
        <f>F15+H14+G15*X15</f>
        <v/>
      </c>
      <c r="K15" s="142">
        <f>采购成本对比!I4+采购成本对比!J4+采购成本对比!K4+采购成本对比!L4+采购成本对比!AG4</f>
        <v/>
      </c>
      <c r="L15" s="300" t="n">
        <v>0.2</v>
      </c>
      <c r="U15" s="301">
        <f>IF(OR(E15="",X15="",K15=""),"",ROUND((E15+H14/X15+G15-0.13*E15/1.13)/(1-K15-L15),2))</f>
        <v/>
      </c>
      <c r="V15" s="119">
        <f>INDEX(全尺寸利润!$P$4:$P$50,MATCH($B$2,全尺寸利润!$A$4:$A$50,0))</f>
        <v/>
      </c>
      <c r="X15" s="302">
        <f>参数!$B$2</f>
        <v/>
      </c>
    </row>
    <row r="16">
      <c r="A16" s="1" t="inlineStr">
        <is>
          <t>选用尺寸的全尺寸利润行号</t>
        </is>
      </c>
      <c r="B16" s="1">
        <f>MATCH($B$2,全尺寸利润!$A$4:$A$50,0)</f>
        <v/>
      </c>
    </row>
  </sheetData>
  <mergeCells count="2">
    <mergeCell ref="A3:L3"/>
    <mergeCell ref="A1:L1"/>
  </mergeCells>
  <dataValidations count="1">
    <dataValidation sqref="B2" showDropDown="0" showInputMessage="0" showErrorMessage="0" allowBlank="0" type="list">
      <formula1>"2'3',2'5',2'6',2'8',2'10',3'5',4'6',5'7',5'8',6'9',7'9',8'10',9'12',Φ4',Φ6',Φ8',10'14',8'8',Φ3.15',Φ3.4',Φ5',2.6*8,说明：保本售价=利润(含退税)≥0的最低价(向上到分)；利润售价=利润率约30%。改仓库/发货日/汇率后，请重新运行计算或看主表公式自动重算。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18" customWidth="1" style="67" min="1" max="1"/>
    <col width="22" customWidth="1" style="67" min="2" max="2"/>
    <col width="18" customWidth="1" style="67" min="3" max="3"/>
    <col width="14" customWidth="1" style="67" min="4" max="4"/>
    <col width="14" customWidth="1" style="67" min="5" max="5"/>
    <col width="14" customWidth="1" style="67" min="6" max="6"/>
    <col width="28" customWidth="1" style="67" min="7" max="7"/>
  </cols>
  <sheetData>
    <row r="1">
      <c r="A1" s="303" t="inlineStr">
        <is>
          <t>目标达成预期收益</t>
        </is>
      </c>
      <c r="B1" s="313" t="n"/>
      <c r="C1" s="313" t="n"/>
      <c r="D1" s="313" t="n"/>
      <c r="E1" s="313" t="n"/>
      <c r="F1" s="314" t="n"/>
    </row>
    <row r="2">
      <c r="A2" s="304" t="inlineStr">
        <is>
          <t>日销量</t>
        </is>
      </c>
      <c r="B2" s="304" t="inlineStr">
        <is>
          <t>20%利润售价</t>
        </is>
      </c>
      <c r="C2" s="304" t="inlineStr">
        <is>
          <t>月销量</t>
        </is>
      </c>
      <c r="D2" s="304" t="inlineStr">
        <is>
          <t>月销售额</t>
        </is>
      </c>
      <c r="E2" s="304" t="inlineStr">
        <is>
          <t>年销售额</t>
        </is>
      </c>
      <c r="F2" s="304" t="inlineStr">
        <is>
          <t>人民币</t>
        </is>
      </c>
    </row>
    <row r="3">
      <c r="A3" s="305" t="n">
        <v>2000</v>
      </c>
      <c r="B3" s="306">
        <f>'利润表'!U15</f>
        <v/>
      </c>
      <c r="C3" s="305">
        <f>A3*30</f>
        <v/>
      </c>
      <c r="D3" s="307">
        <f>C3*B3</f>
        <v/>
      </c>
      <c r="E3" s="307">
        <f>D3*12</f>
        <v/>
      </c>
      <c r="F3" s="308">
        <f>'利润表'!X15*E3</f>
        <v/>
      </c>
    </row>
    <row r="4">
      <c r="A4" s="309" t="inlineStr">
        <is>
          <t>（参考）</t>
        </is>
      </c>
      <c r="B4" s="309" t="inlineStr">
        <is>
          <t>来自利润表·按尺寸</t>
        </is>
      </c>
      <c r="C4" s="305">
        <f>C3/8</f>
        <v/>
      </c>
      <c r="D4" s="309" t="inlineStr">
        <is>
          <t>月销量口径2→</t>
        </is>
      </c>
      <c r="E4" s="309" t="inlineStr">
        <is>
          <t>C4=月销量/8</t>
        </is>
      </c>
      <c r="F4" s="309" t="n"/>
    </row>
    <row r="6">
      <c r="A6" s="303" t="inlineStr">
        <is>
          <t>阶段划分</t>
        </is>
      </c>
      <c r="B6" s="313" t="n"/>
      <c r="C6" s="313" t="n"/>
      <c r="D6" s="313" t="n"/>
      <c r="E6" s="313" t="n"/>
      <c r="F6" s="313" t="n"/>
      <c r="G6" s="314" t="n"/>
    </row>
    <row r="7">
      <c r="A7" s="304" t="inlineStr">
        <is>
          <t>时间</t>
        </is>
      </c>
      <c r="B7" s="304" t="inlineStr">
        <is>
          <t>今年跑通</t>
        </is>
      </c>
      <c r="C7" s="304" t="inlineStr">
        <is>
          <t>年份</t>
        </is>
      </c>
      <c r="D7" s="304" t="inlineStr">
        <is>
          <t>新款式</t>
        </is>
      </c>
      <c r="E7" s="304" t="inlineStr">
        <is>
          <t>首批</t>
        </is>
      </c>
      <c r="F7" s="304" t="inlineStr">
        <is>
          <t>定位</t>
        </is>
      </c>
      <c r="G7" s="304" t="inlineStr">
        <is>
          <t>策略</t>
        </is>
      </c>
    </row>
    <row r="8">
      <c r="A8" s="309" t="inlineStr">
        <is>
          <t>阶段</t>
        </is>
      </c>
      <c r="B8" s="309" t="inlineStr">
        <is>
          <t>28年1K</t>
        </is>
      </c>
      <c r="C8" s="309" t="inlineStr">
        <is>
          <t>传统</t>
        </is>
      </c>
      <c r="D8" s="309" t="inlineStr">
        <is>
          <t>新款式</t>
        </is>
      </c>
      <c r="E8" s="309" t="n">
        <v>2</v>
      </c>
      <c r="F8" s="309" t="inlineStr">
        <is>
          <t>新款式</t>
        </is>
      </c>
      <c r="G8" s="309" t="inlineStr">
        <is>
          <t>做利润</t>
        </is>
      </c>
    </row>
    <row r="9">
      <c r="A9" s="309" t="inlineStr"/>
      <c r="B9" s="309" t="inlineStr">
        <is>
          <t>29年2K</t>
        </is>
      </c>
      <c r="C9" s="309" t="inlineStr"/>
      <c r="D9" s="309" t="inlineStr">
        <is>
          <t>低价</t>
        </is>
      </c>
      <c r="E9" s="309" t="n">
        <v>3</v>
      </c>
      <c r="F9" s="309" t="inlineStr">
        <is>
          <t>低价</t>
        </is>
      </c>
      <c r="G9" s="309" t="inlineStr">
        <is>
          <t>流速</t>
        </is>
      </c>
    </row>
    <row r="11">
      <c r="A11" s="303" t="inlineStr">
        <is>
          <t>需要准备</t>
        </is>
      </c>
      <c r="B11" s="313" t="n"/>
      <c r="C11" s="313" t="n"/>
      <c r="D11" s="314" t="n"/>
    </row>
    <row r="12">
      <c r="A12" s="304" t="inlineStr">
        <is>
          <t>账号/店铺公司</t>
        </is>
      </c>
      <c r="B12" s="304" t="inlineStr">
        <is>
          <t>商标</t>
        </is>
      </c>
      <c r="C12" s="304" t="inlineStr">
        <is>
          <t>人员</t>
        </is>
      </c>
      <c r="D12" s="304" t="inlineStr">
        <is>
          <t>备注</t>
        </is>
      </c>
    </row>
    <row r="13">
      <c r="A13" s="309" t="n">
        <v>3</v>
      </c>
      <c r="B13" s="309" t="n">
        <v>1</v>
      </c>
      <c r="C13" s="309" t="inlineStr">
        <is>
          <t>2个运营</t>
        </is>
      </c>
      <c r="D13" s="309" t="inlineStr">
        <is>
          <t>还没找到第二个</t>
        </is>
      </c>
    </row>
    <row r="15">
      <c r="A15" s="303" t="inlineStr">
        <is>
          <t>投入金额</t>
        </is>
      </c>
      <c r="B15" s="313" t="n"/>
      <c r="C15" s="313" t="n"/>
      <c r="D15" s="313" t="n"/>
      <c r="E15" s="313" t="n"/>
      <c r="F15" s="314" t="n"/>
    </row>
    <row r="16">
      <c r="A16" s="304" t="inlineStr">
        <is>
          <t>项目</t>
        </is>
      </c>
      <c r="B16" s="304" t="inlineStr">
        <is>
          <t>判断标准</t>
        </is>
      </c>
      <c r="C16" s="304" t="inlineStr">
        <is>
          <t>获取时间</t>
        </is>
      </c>
      <c r="D16" s="304" t="inlineStr">
        <is>
          <t>成本</t>
        </is>
      </c>
      <c r="E16" s="304" t="inlineStr">
        <is>
          <t>风险准备金</t>
        </is>
      </c>
      <c r="F16" s="304" t="inlineStr">
        <is>
          <t>合计</t>
        </is>
      </c>
      <c r="G16" s="304" t="inlineStr">
        <is>
          <t>备注</t>
        </is>
      </c>
    </row>
    <row r="17">
      <c r="A17" s="309" t="inlineStr">
        <is>
          <t>第一笔</t>
        </is>
      </c>
      <c r="B17" s="309" t="inlineStr">
        <is>
          <t>启动</t>
        </is>
      </c>
      <c r="C17" s="309" t="inlineStr">
        <is>
          <t>启动</t>
        </is>
      </c>
      <c r="D17" s="307">
        <f>SUM(D33:D41)</f>
        <v/>
      </c>
      <c r="E17" s="309" t="n">
        <v>0</v>
      </c>
      <c r="F17" s="307">
        <f>D17+E17</f>
        <v/>
      </c>
      <c r="G17" s="309" t="inlineStr">
        <is>
          <t>可以正常启动，进入循环</t>
        </is>
      </c>
    </row>
    <row r="18">
      <c r="A18" s="309" t="inlineStr">
        <is>
          <t>第二笔</t>
        </is>
      </c>
      <c r="B18" s="309" t="inlineStr">
        <is>
          <t>月销1000+件</t>
        </is>
      </c>
      <c r="C18" s="309" t="inlineStr">
        <is>
          <t>到货后1个月 / 启动后3个月</t>
        </is>
      </c>
      <c r="D18" s="307">
        <f>F33</f>
        <v/>
      </c>
      <c r="E18" s="307">
        <f>C28*('利润表'!P14+'利润表'!T14+'利润表'!S14)*'利润表'!X15</f>
        <v/>
      </c>
      <c r="F18" s="307">
        <f>D18+E18</f>
        <v/>
      </c>
      <c r="G18" s="309" t="inlineStr">
        <is>
          <t>货</t>
        </is>
      </c>
    </row>
    <row r="19">
      <c r="A19" s="310" t="inlineStr">
        <is>
          <t>启动后6个月自负盈亏</t>
        </is>
      </c>
      <c r="B19" s="313" t="n"/>
      <c r="C19" s="313" t="n"/>
      <c r="D19" s="313" t="n"/>
      <c r="E19" s="313" t="n"/>
      <c r="F19" s="313" t="n"/>
      <c r="G19" s="314" t="n"/>
    </row>
    <row r="21">
      <c r="A21" s="303" t="inlineStr">
        <is>
          <t>盈利预估</t>
        </is>
      </c>
      <c r="B21" s="313" t="n"/>
      <c r="C21" s="313" t="n"/>
      <c r="D21" s="313" t="n"/>
      <c r="E21" s="313" t="n"/>
      <c r="F21" s="313" t="n"/>
      <c r="G21" s="313" t="n"/>
      <c r="H21" s="314" t="n"/>
    </row>
    <row r="22">
      <c r="A22" s="304" t="inlineStr">
        <is>
          <t>阶段</t>
        </is>
      </c>
      <c r="B22" s="304" t="inlineStr">
        <is>
          <t>利润率</t>
        </is>
      </c>
      <c r="C22" s="304" t="inlineStr">
        <is>
          <t>月销量</t>
        </is>
      </c>
      <c r="D22" s="304" t="inlineStr">
        <is>
          <t>月收益</t>
        </is>
      </c>
      <c r="E22" s="304" t="inlineStr">
        <is>
          <t>回本周期(月)</t>
        </is>
      </c>
      <c r="F22" s="1" t="inlineStr"/>
      <c r="G22" s="1" t="inlineStr"/>
      <c r="H22" s="1" t="inlineStr"/>
    </row>
    <row r="23">
      <c r="A23" s="309" t="inlineStr">
        <is>
          <t>启动6-10个月</t>
        </is>
      </c>
      <c r="B23" s="311" t="n">
        <v>0.15</v>
      </c>
      <c r="C23" s="305" t="n">
        <v>3000</v>
      </c>
      <c r="D23" s="307">
        <f>'利润表'!U15*B23*C23</f>
        <v/>
      </c>
      <c r="E23" s="312">
        <f>IF(D23=0,"",F17/D23)</f>
        <v/>
      </c>
    </row>
    <row r="24">
      <c r="A24" s="309" t="inlineStr">
        <is>
          <t>启动10个月后</t>
        </is>
      </c>
      <c r="B24" s="311" t="n">
        <v>0.15</v>
      </c>
      <c r="C24" s="305" t="n">
        <v>5000</v>
      </c>
      <c r="D24" s="307">
        <f>'利润表'!U15*B24*C24</f>
        <v/>
      </c>
      <c r="E24" s="309" t="n"/>
    </row>
    <row r="26">
      <c r="A26" s="303" t="inlineStr">
        <is>
          <t>订单计划</t>
        </is>
      </c>
      <c r="B26" s="313" t="n"/>
      <c r="C26" s="313" t="n"/>
      <c r="D26" s="314" t="n"/>
    </row>
    <row r="27">
      <c r="A27" s="304" t="inlineStr">
        <is>
          <t>项目</t>
        </is>
      </c>
      <c r="B27" s="304" t="inlineStr">
        <is>
          <t>说明</t>
        </is>
      </c>
      <c r="C27" s="304" t="inlineStr">
        <is>
          <t>数量(件)</t>
        </is>
      </c>
      <c r="D27" s="304" t="inlineStr">
        <is>
          <t>公式/备注</t>
        </is>
      </c>
    </row>
    <row r="28">
      <c r="A28" s="309" t="inlineStr">
        <is>
          <t>首单</t>
        </is>
      </c>
      <c r="B28" s="309" t="inlineStr">
        <is>
          <t>1个月量</t>
        </is>
      </c>
      <c r="C28" s="305">
        <f>200+400+400</f>
        <v/>
      </c>
      <c r="D28" s="309" t="inlineStr">
        <is>
          <t>启动备货</t>
        </is>
      </c>
    </row>
    <row r="29">
      <c r="A29" s="309" t="inlineStr">
        <is>
          <t>第一个月结束</t>
        </is>
      </c>
      <c r="B29" s="309" t="inlineStr">
        <is>
          <t>备3个月库存</t>
        </is>
      </c>
      <c r="C29" s="305">
        <f>C28*3</f>
        <v/>
      </c>
      <c r="D29" s="309" t="inlineStr">
        <is>
          <t>避免断货</t>
        </is>
      </c>
    </row>
    <row r="30">
      <c r="A30" s="309" t="inlineStr">
        <is>
          <t>返单</t>
        </is>
      </c>
      <c r="B30" s="309" t="inlineStr">
        <is>
          <t>二个月销量</t>
        </is>
      </c>
      <c r="C30" s="305" t="n">
        <v>24000</v>
      </c>
      <c r="D30" s="309" t="inlineStr">
        <is>
          <t>可按实际月销调整</t>
        </is>
      </c>
    </row>
    <row r="31">
      <c r="A31" s="303" t="inlineStr">
        <is>
          <t>费用计算</t>
        </is>
      </c>
      <c r="B31" s="313" t="n"/>
      <c r="C31" s="313" t="n"/>
      <c r="D31" s="313" t="n"/>
      <c r="E31" s="313" t="n"/>
      <c r="F31" s="314" t="n"/>
    </row>
    <row r="32">
      <c r="A32" s="304" t="inlineStr">
        <is>
          <t>费用项</t>
        </is>
      </c>
      <c r="B32" s="304" t="inlineStr">
        <is>
          <t>单次/月标准</t>
        </is>
      </c>
      <c r="C32" s="304" t="inlineStr">
        <is>
          <t>数量口径</t>
        </is>
      </c>
      <c r="D32" s="304" t="inlineStr">
        <is>
          <t>3个月合计</t>
        </is>
      </c>
      <c r="E32" s="304" t="inlineStr"/>
      <c r="F32" s="304" t="inlineStr">
        <is>
          <t>因不能断货提前备货</t>
        </is>
      </c>
    </row>
    <row r="33">
      <c r="A33" s="309" t="inlineStr">
        <is>
          <t>货</t>
        </is>
      </c>
      <c r="B33" s="307">
        <f>'利润表'!F15*C28</f>
        <v/>
      </c>
      <c r="C33" s="305">
        <f>C28</f>
        <v/>
      </c>
      <c r="D33" s="307">
        <f>B33</f>
        <v/>
      </c>
      <c r="E33" s="309" t="n"/>
      <c r="F33" s="307">
        <f>'利润表'!I15*C29</f>
        <v/>
      </c>
    </row>
    <row r="34">
      <c r="A34" s="309" t="inlineStr">
        <is>
          <t>头程物流</t>
        </is>
      </c>
      <c r="B34" s="307">
        <f>'利润表'!H14*C28</f>
        <v/>
      </c>
      <c r="C34" s="305">
        <f>C28</f>
        <v/>
      </c>
      <c r="D34" s="307">
        <f>B34</f>
        <v/>
      </c>
      <c r="E34" s="309" t="n"/>
      <c r="F34" s="309" t="n"/>
    </row>
    <row r="35">
      <c r="A35" s="309" t="inlineStr">
        <is>
          <t>广告(含佣金/退款口径)</t>
        </is>
      </c>
      <c r="B35" s="307">
        <f>('利润表'!P14+'利润表'!T14+'利润表'!S14)*C28*'利润表'!X15</f>
        <v/>
      </c>
      <c r="C35" s="305">
        <f>C28</f>
        <v/>
      </c>
      <c r="D35" s="307">
        <f>B35</f>
        <v/>
      </c>
      <c r="E35" s="309" t="n"/>
      <c r="F35" s="309" t="n"/>
    </row>
    <row r="36">
      <c r="A36" s="309" t="inlineStr">
        <is>
          <t>人工</t>
        </is>
      </c>
      <c r="B36" s="307" t="n">
        <v>20000</v>
      </c>
      <c r="C36" s="309" t="inlineStr">
        <is>
          <t>每月</t>
        </is>
      </c>
      <c r="D36" s="307">
        <f>B36*3</f>
        <v/>
      </c>
      <c r="E36" s="309" t="n"/>
      <c r="F36" s="309" t="n"/>
    </row>
    <row r="37">
      <c r="A37" s="309" t="inlineStr">
        <is>
          <t>账号</t>
        </is>
      </c>
      <c r="B37" s="307">
        <f>300+68+30</f>
        <v/>
      </c>
      <c r="C37" s="309" t="inlineStr">
        <is>
          <t>每月</t>
        </is>
      </c>
      <c r="D37" s="307">
        <f>B37*3</f>
        <v/>
      </c>
      <c r="E37" s="309" t="n"/>
      <c r="F37" s="309" t="n"/>
    </row>
    <row r="38">
      <c r="A38" s="309" t="inlineStr">
        <is>
          <t>场地</t>
        </is>
      </c>
      <c r="B38" s="307" t="n">
        <v>5000</v>
      </c>
      <c r="C38" s="309" t="inlineStr">
        <is>
          <t>每月</t>
        </is>
      </c>
      <c r="D38" s="307">
        <f>B38*3</f>
        <v/>
      </c>
      <c r="E38" s="309" t="n"/>
      <c r="F38" s="309" t="n"/>
    </row>
    <row r="39">
      <c r="A39" s="309" t="inlineStr">
        <is>
          <t>设计</t>
        </is>
      </c>
      <c r="B39" s="307" t="n">
        <v>1000</v>
      </c>
      <c r="C39" s="309" t="inlineStr">
        <is>
          <t>每个产品</t>
        </is>
      </c>
      <c r="D39" s="307">
        <f>B39*(E8+E9)</f>
        <v/>
      </c>
      <c r="E39" s="309" t="n"/>
      <c r="F39" s="309" t="n"/>
    </row>
    <row r="40">
      <c r="A40" s="309" t="inlineStr">
        <is>
          <t>A+</t>
        </is>
      </c>
      <c r="B40" s="307" t="n">
        <v>3000</v>
      </c>
      <c r="C40" s="309" t="inlineStr">
        <is>
          <t>每链接</t>
        </is>
      </c>
      <c r="D40" s="307">
        <f>B40*(E8+E9)</f>
        <v/>
      </c>
      <c r="E40" s="309" t="n"/>
      <c r="F40" s="309" t="n"/>
    </row>
    <row r="41">
      <c r="A41" s="309" t="inlineStr">
        <is>
          <t>视频</t>
        </is>
      </c>
      <c r="B41" s="307" t="n">
        <v>1000</v>
      </c>
      <c r="C41" s="309" t="inlineStr">
        <is>
          <t>每链接</t>
        </is>
      </c>
      <c r="D41" s="307">
        <f>B41*(E8+E9)</f>
        <v/>
      </c>
      <c r="E41" s="309" t="n"/>
      <c r="F41" s="309" t="n"/>
    </row>
    <row r="43">
      <c r="A43" s="105" t="inlineStr">
        <is>
          <t>跨页说明：本页引用「利润表」固定单元格；利润表再用表头 INDEX/MATCH 跳到「全尺寸利润」「参数」「采购成本对比」。改「利润表!B2」尺寸后，售价/采购/头程/FBA/经营规划费用会一起变。</t>
        </is>
      </c>
    </row>
  </sheetData>
  <mergeCells count="9">
    <mergeCell ref="A21:H21"/>
    <mergeCell ref="A6:G6"/>
    <mergeCell ref="A1:F1"/>
    <mergeCell ref="A26:D26"/>
    <mergeCell ref="A31:F31"/>
    <mergeCell ref="A11:D11"/>
    <mergeCell ref="A43:G43"/>
    <mergeCell ref="A19:G19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2026-10-27T03:08:57Z</dcterms:created>
  <dcterms:modified xsi:type="dcterms:W3CDTF">2026-10-27T09:02:10Z</dcterms:modified>
</cp:coreProperties>
</file>